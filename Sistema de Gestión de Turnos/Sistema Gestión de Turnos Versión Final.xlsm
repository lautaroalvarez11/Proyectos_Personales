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uarios\Lautaro\descargas\"/>
    </mc:Choice>
  </mc:AlternateContent>
  <bookViews>
    <workbookView xWindow="0" yWindow="0" windowWidth="20490" windowHeight="7650" activeTab="1"/>
  </bookViews>
  <sheets>
    <sheet name="Calendario" sheetId="2" r:id="rId1"/>
    <sheet name="Citas" sheetId="4" r:id="rId2"/>
    <sheet name="Feriados" sheetId="6" r:id="rId3"/>
    <sheet name="Auxiliar" sheetId="3" state="hidden" r:id="rId4"/>
  </sheets>
  <functionGroups builtInGroupCount="18"/>
  <externalReferences>
    <externalReference r:id="rId5"/>
  </externalReferences>
  <definedNames>
    <definedName name="Año">Auxiliar!$D$3:$D$34</definedName>
    <definedName name="Citas" localSheetId="2">OFFSET(Feriados!$B$7,,,COUNTA(Feriados!$B$7:$B$10000),3)</definedName>
    <definedName name="Citas">OFFSET(Citas!$B$7,,,COUNTA(Citas!$B$7:$B$10035),3)</definedName>
    <definedName name="Comprobantes">'[1]Tabla de Comprobantes'!$A$3:$A$65</definedName>
    <definedName name="Feriados">OFFSET(Feriados!$B$7,,,COUNTA(Feriados!$B$7:$B$50))</definedName>
    <definedName name="Laborables">Feriados!$E$6:$F$12</definedName>
    <definedName name="Meses">Auxiliar!$A$3:$A$14</definedName>
    <definedName name="PC">'[1]Tabla de Comprobantes'!$E$3:$E$14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4" l="1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7" i="4"/>
  <c r="D7" i="4"/>
  <c r="D9" i="4"/>
  <c r="C49" i="4" l="1"/>
  <c r="D49" i="4"/>
  <c r="C50" i="4"/>
  <c r="D50" i="4"/>
  <c r="C51" i="4"/>
  <c r="D51" i="4"/>
  <c r="C52" i="4"/>
  <c r="D52" i="4"/>
  <c r="C53" i="4"/>
  <c r="D53" i="4"/>
  <c r="C54" i="4"/>
  <c r="D54" i="4"/>
  <c r="C55" i="4"/>
  <c r="D55" i="4"/>
  <c r="C56" i="4"/>
  <c r="D56" i="4"/>
  <c r="C57" i="4"/>
  <c r="D57" i="4"/>
  <c r="C35" i="4"/>
  <c r="D35" i="4"/>
  <c r="C36" i="4"/>
  <c r="D36" i="4"/>
  <c r="C37" i="4"/>
  <c r="D37" i="4"/>
  <c r="C38" i="4"/>
  <c r="D38" i="4"/>
  <c r="C39" i="4"/>
  <c r="D39" i="4"/>
  <c r="C40" i="4"/>
  <c r="D40" i="4"/>
  <c r="C41" i="4"/>
  <c r="D41" i="4"/>
  <c r="C42" i="4"/>
  <c r="D42" i="4"/>
  <c r="C43" i="4"/>
  <c r="D43" i="4"/>
  <c r="C44" i="4"/>
  <c r="D44" i="4"/>
  <c r="C45" i="4"/>
  <c r="D45" i="4"/>
  <c r="C46" i="4"/>
  <c r="D46" i="4"/>
  <c r="C47" i="4"/>
  <c r="D47" i="4"/>
  <c r="C48" i="4"/>
  <c r="D48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D8" i="4" l="1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C7" i="4"/>
  <c r="J10" i="2" l="1" a="1"/>
  <c r="J10" i="2" s="1"/>
  <c r="K10" i="2" a="1"/>
  <c r="K10" i="2" s="1"/>
  <c r="L10" i="2" a="1"/>
  <c r="L10" i="2" s="1"/>
  <c r="K11" i="2" a="1"/>
  <c r="K11" i="2" s="1"/>
  <c r="K12" i="2" a="1"/>
  <c r="K12" i="2" s="1"/>
  <c r="K13" i="2" a="1"/>
  <c r="K13" i="2" s="1"/>
  <c r="K14" i="2" a="1"/>
  <c r="K14" i="2" s="1"/>
  <c r="K15" i="2" a="1"/>
  <c r="K15" i="2" s="1"/>
  <c r="K16" i="2" a="1"/>
  <c r="K16" i="2" s="1"/>
  <c r="K17" i="2" a="1"/>
  <c r="K17" i="2" s="1"/>
  <c r="K18" i="2" a="1"/>
  <c r="K18" i="2" s="1"/>
  <c r="K19" i="2" a="1"/>
  <c r="K19" i="2" s="1"/>
  <c r="K20" i="2" a="1"/>
  <c r="K20" i="2" s="1"/>
  <c r="K21" i="2" a="1"/>
  <c r="K21" i="2" s="1"/>
  <c r="K22" i="2" a="1"/>
  <c r="K22" i="2" s="1"/>
  <c r="K23" i="2" a="1"/>
  <c r="K23" i="2" s="1"/>
  <c r="K24" i="2" a="1"/>
  <c r="K24" i="2" s="1"/>
  <c r="K25" i="2" a="1"/>
  <c r="K25" i="2" s="1"/>
  <c r="K26" i="2" a="1"/>
  <c r="K26" i="2" s="1"/>
  <c r="L11" i="2" l="1" a="1"/>
  <c r="L11" i="2" s="1"/>
  <c r="L12" i="2" a="1"/>
  <c r="L12" i="2" s="1"/>
  <c r="L13" i="2" a="1"/>
  <c r="L13" i="2" s="1"/>
  <c r="L14" i="2" a="1"/>
  <c r="L14" i="2" s="1"/>
  <c r="L15" i="2" a="1"/>
  <c r="L15" i="2" s="1"/>
  <c r="L16" i="2" a="1"/>
  <c r="L16" i="2" s="1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J11" i="2" a="1"/>
  <c r="J11" i="2" s="1"/>
  <c r="J12" i="2" a="1"/>
  <c r="J12" i="2" s="1"/>
  <c r="J13" i="2" a="1"/>
  <c r="J13" i="2" s="1"/>
  <c r="J14" i="2" a="1"/>
  <c r="J14" i="2" s="1"/>
  <c r="J15" i="2" a="1"/>
  <c r="J15" i="2" s="1"/>
  <c r="J16" i="2" a="1"/>
  <c r="J16" i="2" s="1"/>
  <c r="J17" i="2" a="1"/>
  <c r="J17" i="2" s="1"/>
  <c r="J18" i="2" a="1"/>
  <c r="J18" i="2" s="1"/>
  <c r="J19" i="2" a="1"/>
  <c r="J19" i="2" s="1"/>
  <c r="J20" i="2" a="1"/>
  <c r="J20" i="2" s="1"/>
  <c r="J21" i="2" a="1"/>
  <c r="J21" i="2" s="1"/>
  <c r="J22" i="2" a="1"/>
  <c r="J22" i="2" s="1"/>
  <c r="J23" i="2" a="1"/>
  <c r="J23" i="2" s="1"/>
  <c r="J24" i="2" a="1"/>
  <c r="J24" i="2" s="1"/>
  <c r="J25" i="2" a="1"/>
  <c r="J25" i="2" s="1"/>
  <c r="J26" i="2" a="1"/>
  <c r="J26" i="2" s="1"/>
  <c r="B8" i="2"/>
  <c r="B10" i="2" l="1"/>
  <c r="C10" i="2" s="1"/>
  <c r="D10" i="2" l="1"/>
  <c r="E10" i="2" s="1"/>
  <c r="F10" i="2" s="1"/>
  <c r="G10" i="2" s="1"/>
  <c r="H10" i="2" s="1"/>
  <c r="B11" i="2" s="1"/>
  <c r="C11" i="2" s="1"/>
  <c r="D11" i="2" s="1"/>
  <c r="E11" i="2" s="1"/>
  <c r="F11" i="2" s="1"/>
  <c r="G11" i="2" s="1"/>
  <c r="H11" i="2" s="1"/>
  <c r="B12" i="2" s="1"/>
  <c r="C12" i="2" s="1"/>
  <c r="D12" i="2" s="1"/>
  <c r="E12" i="2" s="1"/>
  <c r="F12" i="2" s="1"/>
  <c r="G12" i="2" s="1"/>
  <c r="H12" i="2" s="1"/>
  <c r="B13" i="2" s="1"/>
  <c r="C13" i="2" s="1"/>
  <c r="D13" i="2" s="1"/>
  <c r="E13" i="2" s="1"/>
  <c r="F13" i="2" s="1"/>
  <c r="G13" i="2" s="1"/>
  <c r="H13" i="2" s="1"/>
  <c r="B14" i="2" s="1"/>
  <c r="C14" i="2" s="1"/>
  <c r="D14" i="2" s="1"/>
  <c r="E14" i="2" s="1"/>
  <c r="F14" i="2" s="1"/>
  <c r="G14" i="2" s="1"/>
  <c r="H14" i="2" s="1"/>
  <c r="B15" i="2" s="1"/>
  <c r="C15" i="2" s="1"/>
  <c r="D15" i="2" s="1"/>
  <c r="E15" i="2" s="1"/>
  <c r="F15" i="2" s="1"/>
  <c r="G15" i="2" s="1"/>
  <c r="H15" i="2" s="1"/>
</calcChain>
</file>

<file path=xl/comments1.xml><?xml version="1.0" encoding="utf-8"?>
<comments xmlns="http://schemas.openxmlformats.org/spreadsheetml/2006/main">
  <authors>
    <author>home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 xml:space="preserve">Insertar la fecha en formato </t>
        </r>
        <r>
          <rPr>
            <b/>
            <sz val="9"/>
            <color indexed="81"/>
            <rFont val="Tahoma"/>
            <family val="2"/>
          </rPr>
          <t>dd/mm/aaaa</t>
        </r>
        <r>
          <rPr>
            <sz val="9"/>
            <color indexed="81"/>
            <rFont val="Tahoma"/>
            <family val="2"/>
          </rPr>
          <t>.
Por ejemplo para el 31 de enero de 2020 deberia escribirse 31/01/2020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Insertar hora en formato
hh:mm am/pm . Por ejemplo 8 AM sería 08:00 am, si es 3 de la tarde sería 15:00</t>
        </r>
      </text>
    </comment>
  </commentList>
</comments>
</file>

<file path=xl/sharedStrings.xml><?xml version="1.0" encoding="utf-8"?>
<sst xmlns="http://schemas.openxmlformats.org/spreadsheetml/2006/main" count="78" uniqueCount="67">
  <si>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</si>
  <si>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</si>
  <si>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</si>
  <si>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</si>
  <si>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</si>
  <si>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</si>
  <si>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</si>
  <si>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</si>
  <si>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</si>
  <si>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</si>
  <si>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</si>
  <si>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</si>
  <si>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Mes</t>
  </si>
  <si>
    <t># de mes</t>
  </si>
  <si>
    <t>Años</t>
  </si>
  <si>
    <t>Año</t>
  </si>
  <si>
    <t>Hora</t>
  </si>
  <si>
    <t>Turno</t>
  </si>
  <si>
    <t>Día</t>
  </si>
  <si>
    <t>LUN</t>
  </si>
  <si>
    <t>MAR</t>
  </si>
  <si>
    <t>MIE</t>
  </si>
  <si>
    <t>JUE</t>
  </si>
  <si>
    <t>VIE</t>
  </si>
  <si>
    <t>SAB</t>
  </si>
  <si>
    <t>DOM</t>
  </si>
  <si>
    <t>FECHA</t>
  </si>
  <si>
    <t>HORA</t>
  </si>
  <si>
    <t>PACIENTE</t>
  </si>
  <si>
    <t>Concepto</t>
  </si>
  <si>
    <t>DÍAS LABORABLES</t>
  </si>
  <si>
    <t>Si</t>
  </si>
  <si>
    <t>No</t>
  </si>
  <si>
    <t>Ingrese en la tabla los turnos asignados a los diferentes pacientes</t>
  </si>
  <si>
    <t>Identifique los días laborables</t>
  </si>
  <si>
    <t>FERIADOS Y VACACIONES</t>
  </si>
  <si>
    <t>Ingrese los feriados y vacaciones</t>
  </si>
  <si>
    <t>Seleccione el año</t>
  </si>
  <si>
    <t>Seleccione el mes</t>
  </si>
  <si>
    <t>CITAS DEL DÍA</t>
  </si>
  <si>
    <t>Seleccione abajo el día que quiera visualizar</t>
  </si>
  <si>
    <t>Dia de la bandera</t>
  </si>
  <si>
    <t>Feriado puente</t>
  </si>
  <si>
    <t>Feriado Güemes</t>
  </si>
  <si>
    <t>OS</t>
  </si>
  <si>
    <t>Datos para mostrar en calendario</t>
  </si>
  <si>
    <t>Nombre</t>
  </si>
  <si>
    <t>Columna1</t>
  </si>
  <si>
    <t>Ejemplo2</t>
  </si>
  <si>
    <t>Ejemplo3</t>
  </si>
  <si>
    <t>OOSS</t>
  </si>
  <si>
    <t>s</t>
  </si>
  <si>
    <t>Lun</t>
  </si>
  <si>
    <t>Mar</t>
  </si>
  <si>
    <t>Mie</t>
  </si>
  <si>
    <t>Jue</t>
  </si>
  <si>
    <t>Vie</t>
  </si>
  <si>
    <t>Sab</t>
  </si>
  <si>
    <t>Dom</t>
  </si>
  <si>
    <t>Gerardo Miller</t>
  </si>
  <si>
    <t>2364-154898</t>
  </si>
  <si>
    <t>OSDE</t>
  </si>
  <si>
    <t>TURNO</t>
  </si>
  <si>
    <t>DATOS PERSONALES</t>
  </si>
  <si>
    <t>DÍA - HORARIO</t>
  </si>
  <si>
    <t>TELÉFONO</t>
  </si>
  <si>
    <t>OBRA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</si>
</sst>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F800]dddd\,\ mmmm\ dd\,\ yyyy"/>
    <numFmt numFmtId="165" formatCode="d"/>
    <numFmt numFmtId="166" formatCode="[$-F400]h:mm:ss\ AM/PM"/>
    <numFmt numFmtId="167" formatCode="dd/mm/yyyy\ hh:mm"/>
  </numFmts>
  <fonts count="2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4"/>
      <color theme="1" tint="0.249977111117893"/>
      <name val="Calibri"/>
      <family val="2"/>
      <scheme val="minor"/>
    </font>
    <font>
      <sz val="14"/>
      <color theme="1" tint="0.34998626667073579"/>
      <name val="Calibri"/>
      <family val="2"/>
      <scheme val="minor"/>
    </font>
    <font>
      <b/>
      <sz val="20"/>
      <color theme="1" tint="4.9989318521683403E-2"/>
      <name val="Calibri"/>
      <family val="2"/>
      <scheme val="minor"/>
    </font>
    <font>
      <sz val="16"/>
      <color theme="1" tint="0.34998626667073579"/>
      <name val="Calibri"/>
      <family val="2"/>
      <scheme val="minor"/>
    </font>
    <font>
      <b/>
      <sz val="9"/>
      <color indexed="81"/>
      <name val="Tahoma"/>
      <family val="2"/>
    </font>
    <font>
      <sz val="22"/>
      <color theme="1"/>
      <name val="Calibri"/>
      <family val="2"/>
      <scheme val="minor"/>
    </font>
    <font>
      <b/>
      <sz val="22"/>
      <color theme="1" tint="0.249977111117893"/>
      <name val="Calibri"/>
      <family val="2"/>
      <scheme val="minor"/>
    </font>
    <font>
      <sz val="22"/>
      <color theme="1" tint="0.34998626667073579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b/>
      <sz val="20"/>
      <color theme="1" tint="0.249977111117893"/>
      <name val="Calibri"/>
      <family val="2"/>
      <scheme val="minor"/>
    </font>
    <font>
      <i/>
      <sz val="12"/>
      <color theme="0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 tint="0.34998626667073579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CE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rgb="FFFFDB00"/>
      </bottom>
      <diagonal/>
    </border>
    <border>
      <left style="medium">
        <color theme="0" tint="-0.14993743705557422"/>
      </left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4.9989318521683403E-2"/>
      </right>
      <top/>
      <bottom style="medium">
        <color theme="0" tint="-4.9989318521683403E-2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0" tint="-4.9989318521683403E-2"/>
      </right>
      <top/>
      <bottom style="medium">
        <color theme="0" tint="-4.9989318521683403E-2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/>
  </cellStyleXfs>
  <cellXfs count="7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2" fillId="2" borderId="0" xfId="0" applyFont="1" applyFill="1" applyBorder="1" applyAlignment="1">
      <alignment horizontal="center" vertical="center"/>
    </xf>
    <xf numFmtId="0" fontId="0" fillId="0" borderId="0" xfId="0" applyBorder="1"/>
    <xf numFmtId="0" fontId="3" fillId="0" borderId="3" xfId="0" applyFont="1" applyBorder="1" applyAlignment="1">
      <alignment horizontal="right"/>
    </xf>
    <xf numFmtId="166" fontId="3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/>
    </xf>
    <xf numFmtId="166" fontId="5" fillId="0" borderId="3" xfId="0" applyNumberFormat="1" applyFont="1" applyBorder="1" applyAlignment="1">
      <alignment horizontal="center"/>
    </xf>
    <xf numFmtId="14" fontId="3" fillId="0" borderId="3" xfId="0" applyNumberFormat="1" applyFont="1" applyBorder="1" applyAlignment="1">
      <alignment horizontal="left"/>
    </xf>
    <xf numFmtId="166" fontId="3" fillId="0" borderId="3" xfId="0" applyNumberFormat="1" applyFont="1" applyBorder="1" applyAlignment="1">
      <alignment horizontal="left"/>
    </xf>
    <xf numFmtId="0" fontId="7" fillId="0" borderId="0" xfId="0" applyFont="1"/>
    <xf numFmtId="0" fontId="10" fillId="0" borderId="4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2" fillId="0" borderId="0" xfId="0" applyFont="1" applyBorder="1" applyAlignment="1">
      <alignment vertical="top"/>
    </xf>
    <xf numFmtId="0" fontId="14" fillId="0" borderId="0" xfId="0" applyFont="1" applyBorder="1" applyAlignment="1">
      <alignment vertical="center"/>
    </xf>
    <xf numFmtId="14" fontId="15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5" borderId="0" xfId="0" applyFill="1"/>
    <xf numFmtId="49" fontId="16" fillId="0" borderId="19" xfId="0" applyNumberFormat="1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167" fontId="16" fillId="0" borderId="18" xfId="0" applyNumberFormat="1" applyFont="1" applyBorder="1" applyAlignment="1">
      <alignment horizontal="center"/>
    </xf>
    <xf numFmtId="0" fontId="8" fillId="5" borderId="17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14" fontId="17" fillId="0" borderId="11" xfId="0" applyNumberFormat="1" applyFont="1" applyBorder="1" applyAlignment="1">
      <alignment horizontal="left"/>
    </xf>
    <xf numFmtId="166" fontId="17" fillId="0" borderId="12" xfId="0" applyNumberFormat="1" applyFont="1" applyBorder="1" applyAlignment="1">
      <alignment horizontal="left"/>
    </xf>
    <xf numFmtId="0" fontId="17" fillId="0" borderId="12" xfId="0" applyFont="1" applyBorder="1" applyAlignment="1">
      <alignment horizontal="left"/>
    </xf>
    <xf numFmtId="165" fontId="3" fillId="0" borderId="2" xfId="0" applyNumberFormat="1" applyFont="1" applyFill="1" applyBorder="1" applyAlignment="1">
      <alignment horizontal="center" vertical="center"/>
    </xf>
    <xf numFmtId="167" fontId="16" fillId="0" borderId="21" xfId="0" applyNumberFormat="1" applyFont="1" applyBorder="1" applyAlignment="1">
      <alignment horizontal="center"/>
    </xf>
    <xf numFmtId="49" fontId="16" fillId="0" borderId="20" xfId="0" applyNumberFormat="1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167" fontId="16" fillId="0" borderId="19" xfId="0" applyNumberFormat="1" applyFont="1" applyBorder="1" applyAlignment="1">
      <alignment horizontal="center"/>
    </xf>
    <xf numFmtId="22" fontId="16" fillId="0" borderId="23" xfId="0" applyNumberFormat="1" applyFont="1" applyBorder="1" applyAlignment="1">
      <alignment horizontal="center"/>
    </xf>
    <xf numFmtId="49" fontId="16" fillId="0" borderId="23" xfId="0" applyNumberFormat="1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167" fontId="16" fillId="0" borderId="23" xfId="0" applyNumberFormat="1" applyFont="1" applyBorder="1" applyAlignment="1">
      <alignment horizontal="center"/>
    </xf>
    <xf numFmtId="0" fontId="18" fillId="0" borderId="0" xfId="0" applyFont="1" applyFill="1" applyBorder="1" applyAlignment="1"/>
    <xf numFmtId="0" fontId="16" fillId="0" borderId="24" xfId="0" applyFont="1" applyBorder="1" applyAlignment="1">
      <alignment horizontal="center"/>
    </xf>
    <xf numFmtId="167" fontId="16" fillId="0" borderId="24" xfId="0" applyNumberFormat="1" applyFont="1" applyBorder="1" applyAlignment="1">
      <alignment horizontal="center"/>
    </xf>
    <xf numFmtId="167" fontId="1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4" fillId="0" borderId="1" xfId="0" applyFont="1" applyFill="1" applyBorder="1" applyAlignment="1">
      <alignment horizontal="center" vertical="center" wrapText="1"/>
    </xf>
    <xf numFmtId="14" fontId="13" fillId="4" borderId="13" xfId="0" applyNumberFormat="1" applyFont="1" applyFill="1" applyBorder="1" applyAlignment="1">
      <alignment horizontal="center" vertical="center"/>
    </xf>
    <xf numFmtId="0" fontId="13" fillId="4" borderId="14" xfId="0" applyFont="1" applyFill="1" applyBorder="1" applyAlignment="1">
      <alignment horizontal="center" vertical="center"/>
    </xf>
    <xf numFmtId="0" fontId="13" fillId="4" borderId="15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18" fillId="5" borderId="17" xfId="0" applyFont="1" applyFill="1" applyBorder="1" applyAlignment="1">
      <alignment horizontal="center"/>
    </xf>
    <xf numFmtId="0" fontId="18" fillId="5" borderId="29" xfId="0" applyFont="1" applyFill="1" applyBorder="1" applyAlignment="1">
      <alignment horizontal="center"/>
    </xf>
    <xf numFmtId="0" fontId="18" fillId="5" borderId="30" xfId="0" applyFont="1" applyFill="1" applyBorder="1" applyAlignment="1">
      <alignment horizontal="center"/>
    </xf>
    <xf numFmtId="0" fontId="18" fillId="5" borderId="17" xfId="0" applyFont="1" applyFill="1" applyBorder="1"/>
    <xf numFmtId="0" fontId="18" fillId="5" borderId="29" xfId="0" applyFont="1" applyFill="1" applyBorder="1"/>
    <xf numFmtId="0" fontId="18" fillId="5" borderId="30" xfId="0" applyFont="1" applyFill="1" applyBorder="1"/>
    <xf numFmtId="0" fontId="19" fillId="4" borderId="26" xfId="0" applyFont="1" applyFill="1" applyBorder="1" applyAlignment="1">
      <alignment horizontal="center"/>
    </xf>
    <xf numFmtId="0" fontId="19" fillId="4" borderId="27" xfId="0" applyFont="1" applyFill="1" applyBorder="1" applyAlignment="1">
      <alignment horizontal="center" vertical="center" wrapText="1"/>
    </xf>
    <xf numFmtId="0" fontId="19" fillId="4" borderId="28" xfId="0" applyFont="1" applyFill="1" applyBorder="1" applyAlignment="1">
      <alignment horizontal="center" vertical="center"/>
    </xf>
    <xf numFmtId="0" fontId="19" fillId="4" borderId="27" xfId="0" applyFont="1" applyFill="1" applyBorder="1" applyAlignment="1">
      <alignment horizontal="center" vertical="center"/>
    </xf>
    <xf numFmtId="0" fontId="18" fillId="5" borderId="17" xfId="0" applyFont="1" applyFill="1" applyBorder="1" applyAlignment="1"/>
    <xf numFmtId="0" fontId="18" fillId="5" borderId="29" xfId="0" applyFont="1" applyFill="1" applyBorder="1" applyAlignment="1"/>
    <xf numFmtId="0" fontId="18" fillId="5" borderId="30" xfId="0" applyFont="1" applyFill="1" applyBorder="1" applyAlignment="1"/>
  </cellXfs>
  <cellStyles count="2">
    <cellStyle name="Normal" xfId="0" builtinId="0"/>
    <cellStyle name="Normal 2" xfId="1"/>
  </cellStyles>
  <dxfs count="29"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rgb="FFFF000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gradientFill type="path">
          <stop position="0">
            <color theme="0"/>
          </stop>
          <stop position="1">
            <color theme="9" tint="0.80001220740379042"/>
          </stop>
        </gradientFill>
      </fill>
    </dxf>
    <dxf>
      <font>
        <color rgb="FFFF0000"/>
      </font>
    </dxf>
    <dxf>
      <font>
        <color theme="4"/>
      </font>
      <fill>
        <patternFill patternType="none">
          <bgColor auto="1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medium">
          <color theme="0" tint="-4.9989318521683403E-2"/>
        </left>
        <right style="medium">
          <color theme="0" tint="-4.9989318521683403E-2"/>
        </right>
        <top style="medium">
          <color theme="0" tint="-4.9989318521683403E-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medium">
          <color theme="0" tint="-4.9989318521683403E-2"/>
        </left>
        <right style="medium">
          <color theme="0" tint="-4.9989318521683403E-2"/>
        </right>
        <top style="medium">
          <color theme="0" tint="-4.9989318521683403E-2"/>
        </top>
        <bottom style="medium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medium">
          <color theme="0" tint="-4.9989318521683403E-2"/>
        </left>
        <right style="medium">
          <color theme="0" tint="-4.9989318521683403E-2"/>
        </right>
        <top style="medium">
          <color theme="0" tint="-4.9989318521683403E-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medium">
          <color theme="0" tint="-4.9989318521683403E-2"/>
        </left>
        <right style="medium">
          <color theme="0" tint="-4.9989318521683403E-2"/>
        </right>
        <top style="medium">
          <color theme="0" tint="-4.9989318521683403E-2"/>
        </top>
        <bottom style="medium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numFmt numFmtId="166" formatCode="[$-F400]h:mm:ss\ AM/PM"/>
      <alignment horizontal="left" vertical="bottom" textRotation="0" wrapText="0" indent="0" justifyLastLine="0" shrinkToFit="0" readingOrder="0"/>
      <border diagonalUp="0" diagonalDown="0" outline="0">
        <left style="medium">
          <color theme="0" tint="-4.9989318521683403E-2"/>
        </left>
        <right style="medium">
          <color theme="0" tint="-4.9989318521683403E-2"/>
        </right>
        <top style="medium">
          <color theme="0" tint="-4.9989318521683403E-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numFmt numFmtId="167" formatCode="dd/mm/yyyy\ hh:mm"/>
      <alignment horizontal="center" vertical="bottom" textRotation="0" wrapText="0" indent="0" justifyLastLine="0" shrinkToFit="0" readingOrder="0"/>
      <border diagonalUp="0" diagonalDown="0" outline="0">
        <left style="medium">
          <color theme="0" tint="-4.9989318521683403E-2"/>
        </left>
        <right style="medium">
          <color theme="0" tint="-4.9989318521683403E-2"/>
        </right>
        <top style="medium">
          <color theme="0" tint="-4.9989318521683403E-2"/>
        </top>
        <bottom style="medium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numFmt numFmtId="19" formatCode="d/m/yyyy"/>
      <alignment horizontal="left" vertical="bottom" textRotation="0" wrapText="0" indent="0" justifyLastLine="0" shrinkToFit="0" readingOrder="0"/>
      <border diagonalUp="0" diagonalDown="0" outline="0">
        <left/>
        <right style="medium">
          <color theme="0" tint="-4.9989318521683403E-2"/>
        </right>
        <top style="medium">
          <color theme="0" tint="-4.9989318521683403E-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numFmt numFmtId="19" formatCode="d/m/yyyy"/>
      <alignment horizontal="center" vertical="bottom" textRotation="0" wrapText="0" indent="0" justifyLastLine="0" shrinkToFit="0" readingOrder="0"/>
      <border diagonalUp="0" diagonalDown="0">
        <left/>
        <right style="medium">
          <color theme="0" tint="-4.9989318521683403E-2"/>
        </right>
        <top style="medium">
          <color theme="0" tint="-4.9989318521683403E-2"/>
        </top>
        <bottom style="medium">
          <color theme="0" tint="-4.9989318521683403E-2"/>
        </bottom>
      </border>
    </dxf>
    <dxf>
      <border outline="0">
        <top style="medium">
          <color theme="0" tint="-4.9989318521683403E-2"/>
        </top>
      </border>
    </dxf>
    <dxf>
      <border outline="0">
        <left style="medium">
          <color theme="0" tint="-4.9989318521683403E-2"/>
        </left>
        <right style="medium">
          <color theme="0" tint="-4.9989318521683403E-2"/>
        </right>
        <top style="medium">
          <color theme="0" tint="-0.14996795556505021"/>
        </top>
        <bottom style="medium">
          <color theme="0" tint="-4.9989318521683403E-2"/>
        </bottom>
      </border>
    </dxf>
    <dxf>
      <border outline="0">
        <bottom style="medium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theme="0" tint="-4.9989318521683403E-2"/>
        </left>
        <right style="medium">
          <color theme="0" tint="-4.9989318521683403E-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23813</xdr:colOff>
      <xdr:row>0</xdr:row>
      <xdr:rowOff>158996</xdr:rowOff>
    </xdr:from>
    <xdr:to>
      <xdr:col>6</xdr:col>
      <xdr:colOff>792617</xdr:colOff>
      <xdr:row>2</xdr:row>
      <xdr:rowOff>12946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85813" y="158996"/>
          <a:ext cx="5293179" cy="735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1" baseline="0">
              <a:solidFill>
                <a:schemeClr val="dk1"/>
              </a:solidFill>
              <a:effectLst/>
              <a:latin typeface="Montserrat" panose="00000500000000000000" pitchFamily="50" charset="0"/>
              <a:ea typeface="+mn-ea"/>
              <a:cs typeface="+mn-cs"/>
            </a:rPr>
            <a:t>Consultorio Doctor Amado </a:t>
          </a:r>
          <a:endParaRPr lang="es-AR" sz="2400">
            <a:effectLst/>
            <a:latin typeface="Montserrat" panose="00000500000000000000" pitchFamily="50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5475</xdr:colOff>
      <xdr:row>4</xdr:row>
      <xdr:rowOff>1725</xdr:rowOff>
    </xdr:from>
    <xdr:to>
      <xdr:col>22</xdr:col>
      <xdr:colOff>728382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E8681A9E-364B-4A2F-9067-14C00C7E4DC4}"/>
            </a:ext>
          </a:extLst>
        </xdr:cNvPr>
        <xdr:cNvSpPr/>
      </xdr:nvSpPr>
      <xdr:spPr>
        <a:xfrm>
          <a:off x="6011828" y="1324019"/>
          <a:ext cx="3793319" cy="771481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 b="1">
              <a:solidFill>
                <a:schemeClr val="tx1">
                  <a:lumMod val="85000"/>
                  <a:lumOff val="15000"/>
                </a:schemeClr>
              </a:solidFill>
              <a:latin typeface="+mn-lt"/>
            </a:rPr>
            <a:t>GESTIONAR TURNOS</a:t>
          </a:r>
        </a:p>
      </xdr:txBody>
    </xdr:sp>
    <xdr:clientData/>
  </xdr:twoCellAnchor>
  <xdr:twoCellAnchor editAs="absolute">
    <xdr:from>
      <xdr:col>13</xdr:col>
      <xdr:colOff>95251</xdr:colOff>
      <xdr:row>0</xdr:row>
      <xdr:rowOff>105833</xdr:rowOff>
    </xdr:from>
    <xdr:to>
      <xdr:col>18</xdr:col>
      <xdr:colOff>140466</xdr:colOff>
      <xdr:row>2</xdr:row>
      <xdr:rowOff>71437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06918" y="105833"/>
          <a:ext cx="6601278" cy="8546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400" b="1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Reserva</a:t>
          </a:r>
          <a:r>
            <a:rPr lang="en-US" sz="2400" b="1" baseline="0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 de turnos</a:t>
          </a:r>
          <a:endParaRPr lang="en-US" sz="2400" b="1">
            <a:solidFill>
              <a:schemeClr val="tx1">
                <a:lumMod val="85000"/>
                <a:lumOff val="1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379320</xdr:colOff>
          <xdr:row>5</xdr:row>
          <xdr:rowOff>20731</xdr:rowOff>
        </xdr:from>
        <xdr:to>
          <xdr:col>22</xdr:col>
          <xdr:colOff>680758</xdr:colOff>
          <xdr:row>5</xdr:row>
          <xdr:rowOff>468406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Nuevo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29696</xdr:colOff>
          <xdr:row>5</xdr:row>
          <xdr:rowOff>19610</xdr:rowOff>
        </xdr:from>
        <xdr:to>
          <xdr:col>19</xdr:col>
          <xdr:colOff>353546</xdr:colOff>
          <xdr:row>5</xdr:row>
          <xdr:rowOff>467285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Cancelar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123825</xdr:colOff>
      <xdr:row>0</xdr:row>
      <xdr:rowOff>171450</xdr:rowOff>
    </xdr:from>
    <xdr:to>
      <xdr:col>6</xdr:col>
      <xdr:colOff>302559</xdr:colOff>
      <xdr:row>2</xdr:row>
      <xdr:rowOff>26988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336737" y="171450"/>
          <a:ext cx="5860116" cy="7408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400" b="1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Planificar</a:t>
          </a:r>
          <a:r>
            <a:rPr lang="en-US" sz="2400" b="1" baseline="0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 feriados y días laborables</a:t>
          </a:r>
          <a:endParaRPr lang="en-US" sz="2400" b="1">
            <a:solidFill>
              <a:schemeClr val="tx1">
                <a:lumMod val="85000"/>
                <a:lumOff val="1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ntiago\Downloads\planilla-de-excel-para-el-aplicativo-de-compras-y-ven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Comprobante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la1" displayName="Tabla1" ref="B6:E58" totalsRowCount="1" headerRowDxfId="28" headerRowBorderDxfId="27" tableBorderDxfId="26" totalsRowBorderDxfId="25">
  <autoFilter ref="B6:E57">
    <filterColumn colId="0" hiddenButton="1"/>
    <filterColumn colId="1" hiddenButton="1"/>
    <filterColumn colId="2" hiddenButton="1"/>
    <filterColumn colId="3" hiddenButton="1"/>
  </autoFilter>
  <tableColumns count="4">
    <tableColumn id="1" name="Día" dataDxfId="24" totalsRowDxfId="23">
      <calculatedColumnFormula>INT(N7)</calculatedColumnFormula>
    </tableColumn>
    <tableColumn id="2" name="Hora" dataDxfId="22" totalsRowDxfId="21">
      <calculatedColumnFormula>N7</calculatedColumnFormula>
    </tableColumn>
    <tableColumn id="3" name="Nombre" dataDxfId="20" totalsRowDxfId="19">
      <calculatedColumnFormula>O7</calculatedColumnFormula>
    </tableColumn>
    <tableColumn id="4" name="Columna1" dataDxfId="18" totalsRowDxfId="17">
      <calculatedColumnFormula>N7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L39"/>
  <sheetViews>
    <sheetView showGridLines="0" zoomScale="85" zoomScaleNormal="85" workbookViewId="0">
      <selection activeCell="M5" sqref="M5"/>
    </sheetView>
  </sheetViews>
  <sheetFormatPr baseColWidth="10" defaultRowHeight="15" x14ac:dyDescent="0.25"/>
  <cols>
    <col min="2" max="3" width="13.28515625" customWidth="1"/>
    <col min="4" max="4" width="14.28515625" customWidth="1"/>
    <col min="5" max="5" width="13.85546875" customWidth="1"/>
    <col min="6" max="8" width="13.28515625" customWidth="1"/>
    <col min="9" max="9" width="5.140625" customWidth="1"/>
    <col min="10" max="10" width="41.140625" bestFit="1" customWidth="1"/>
    <col min="11" max="11" width="37.42578125" bestFit="1" customWidth="1"/>
    <col min="12" max="12" width="23.28515625" customWidth="1"/>
  </cols>
  <sheetData>
    <row r="2" spans="2:12" s="3" customFormat="1" ht="54.95" customHeight="1" x14ac:dyDescent="0.25">
      <c r="B2" s="60"/>
      <c r="C2" s="61"/>
      <c r="D2" s="61"/>
      <c r="E2" s="61"/>
      <c r="F2" s="61"/>
      <c r="G2" s="61"/>
      <c r="H2" s="61"/>
      <c r="I2" s="61"/>
      <c r="J2" s="61"/>
      <c r="K2" s="61"/>
      <c r="L2" s="62"/>
    </row>
    <row r="4" spans="2:12" s="12" customFormat="1" ht="28.5" x14ac:dyDescent="0.45">
      <c r="D4" s="23" t="s">
        <v>15</v>
      </c>
      <c r="E4" s="25">
        <v>2024</v>
      </c>
      <c r="F4" s="16" t="s">
        <v>37</v>
      </c>
    </row>
    <row r="5" spans="2:12" s="12" customFormat="1" ht="28.5" x14ac:dyDescent="0.45">
      <c r="D5" s="24" t="s">
        <v>12</v>
      </c>
      <c r="E5" s="26" t="s">
        <v>6</v>
      </c>
      <c r="F5" s="16" t="s">
        <v>38</v>
      </c>
    </row>
    <row r="6" spans="2:12" x14ac:dyDescent="0.25">
      <c r="E6" s="1"/>
    </row>
    <row r="7" spans="2:12" ht="16.5" thickBot="1" x14ac:dyDescent="0.3">
      <c r="B7" s="16" t="s">
        <v>40</v>
      </c>
      <c r="E7" s="1"/>
      <c r="H7" s="2"/>
      <c r="J7" s="17">
        <v>45475</v>
      </c>
    </row>
    <row r="8" spans="2:12" ht="24" customHeight="1" thickBot="1" x14ac:dyDescent="0.3">
      <c r="B8" s="51" t="str">
        <f>TEXT(DATE(E4,VLOOKUP(E5,Auxiliar!$A$3:$B$14,2,0),1),"MMMM")&amp;" "&amp;Calendario!E4</f>
        <v>julio 2024</v>
      </c>
      <c r="C8" s="51"/>
      <c r="D8" s="51"/>
      <c r="E8" s="51"/>
      <c r="F8" s="51"/>
      <c r="G8" s="51"/>
      <c r="H8" s="51"/>
      <c r="J8" s="52" t="s">
        <v>39</v>
      </c>
      <c r="K8" s="53"/>
      <c r="L8" s="54"/>
    </row>
    <row r="9" spans="2:12" ht="30" customHeight="1" thickTop="1" thickBot="1" x14ac:dyDescent="0.3">
      <c r="B9" s="27" t="s">
        <v>19</v>
      </c>
      <c r="C9" s="27" t="s">
        <v>20</v>
      </c>
      <c r="D9" s="27" t="s">
        <v>21</v>
      </c>
      <c r="E9" s="27" t="s">
        <v>22</v>
      </c>
      <c r="F9" s="27" t="s">
        <v>23</v>
      </c>
      <c r="G9" s="27" t="s">
        <v>24</v>
      </c>
      <c r="H9" s="27" t="s">
        <v>25</v>
      </c>
      <c r="J9" s="27" t="s">
        <v>26</v>
      </c>
      <c r="K9" s="27" t="s">
        <v>27</v>
      </c>
      <c r="L9" s="27" t="s">
        <v>28</v>
      </c>
    </row>
    <row r="10" spans="2:12" ht="26.25" customHeight="1" thickBot="1" x14ac:dyDescent="0.4">
      <c r="B10" s="37">
        <f>B8-WEEKDAY(B8,11)+1</f>
        <v>45474</v>
      </c>
      <c r="C10" s="37">
        <f>B10+1</f>
        <v>45475</v>
      </c>
      <c r="D10" s="37">
        <f>C10+1</f>
        <v>45476</v>
      </c>
      <c r="E10" s="37">
        <f t="shared" ref="E10:H10" si="0">D10+1</f>
        <v>45477</v>
      </c>
      <c r="F10" s="37">
        <f t="shared" si="0"/>
        <v>45478</v>
      </c>
      <c r="G10" s="37">
        <f t="shared" si="0"/>
        <v>45479</v>
      </c>
      <c r="H10" s="37">
        <f t="shared" si="0"/>
        <v>45480</v>
      </c>
      <c r="J10" s="8">
        <f t="array" aca="1" ref="J10" ca="1">IFERROR(INDEX(Citas,SMALL(IF(INT(INDEX(Citas,0,1))=$J$7,MATCH(ROW(Citas),ROW(Citas),0),""),ROW(A1)),COLUMN(A1)),"")</f>
        <v>45475</v>
      </c>
      <c r="K10" s="9">
        <f t="array" aca="1" ref="K10" ca="1">IFERROR(INDEX(Citas,SMALL(IF(INT(INDEX(Citas,0,1))=$J$7,MATCH(ROW(Citas),ROW(Citas),0),""),ROW(B1)),COLUMN(B1)),"")</f>
        <v>45475.625</v>
      </c>
      <c r="L10" s="9" t="str">
        <f t="array" aca="1" ref="L10" ca="1">IFERROR(INDEX(Citas,SMALL(IF(INT(INDEX(Citas,0,1))=$J$7,MATCH(ROW(Citas),ROW(Citas),0),""),ROW(C1)),COLUMN(C1)),"")</f>
        <v>Gerardo Miller</v>
      </c>
    </row>
    <row r="11" spans="2:12" ht="26.25" customHeight="1" thickBot="1" x14ac:dyDescent="0.4">
      <c r="B11" s="37">
        <f>H10+1</f>
        <v>45481</v>
      </c>
      <c r="C11" s="37">
        <f>B11+1</f>
        <v>45482</v>
      </c>
      <c r="D11" s="37">
        <f t="shared" ref="D11:H11" si="1">C11+1</f>
        <v>45483</v>
      </c>
      <c r="E11" s="37">
        <f t="shared" si="1"/>
        <v>45484</v>
      </c>
      <c r="F11" s="37">
        <f t="shared" si="1"/>
        <v>45485</v>
      </c>
      <c r="G11" s="37">
        <f t="shared" si="1"/>
        <v>45486</v>
      </c>
      <c r="H11" s="37">
        <f t="shared" si="1"/>
        <v>45487</v>
      </c>
      <c r="J11" s="8" t="str">
        <f t="array" aca="1" ref="J11" ca="1">IFERROR(INDEX(Citas,SMALL(IF(INT(INDEX(Citas,0,1))=$J$7,MATCH(ROW(Citas),ROW(Citas),0),""),ROW(A2)),COLUMN(A2)),"")</f>
        <v/>
      </c>
      <c r="K11" s="9" t="str">
        <f t="array" aca="1" ref="K11" ca="1">IFERROR(INDEX(Citas,SMALL(IF(INT(INDEX(Citas,0,1))=$J$7,MATCH(ROW(Citas),ROW(Citas),0),""),ROW(B2)),COLUMN(B2)),"")</f>
        <v/>
      </c>
      <c r="L11" s="9" t="str">
        <f t="array" aca="1" ref="L11" ca="1">IFERROR(INDEX(Citas,SMALL(IF(INT(INDEX(Citas,0,1))=$J$7,MATCH(ROW(Citas),ROW(Citas),0),""),ROW(C2)),COLUMN(C2)),"")</f>
        <v/>
      </c>
    </row>
    <row r="12" spans="2:12" ht="26.25" customHeight="1" thickBot="1" x14ac:dyDescent="0.4">
      <c r="B12" s="37">
        <f t="shared" ref="B12:B15" si="2">H11+1</f>
        <v>45488</v>
      </c>
      <c r="C12" s="37">
        <f t="shared" ref="C12:H12" si="3">B12+1</f>
        <v>45489</v>
      </c>
      <c r="D12" s="37">
        <f t="shared" si="3"/>
        <v>45490</v>
      </c>
      <c r="E12" s="37">
        <f t="shared" si="3"/>
        <v>45491</v>
      </c>
      <c r="F12" s="37">
        <f t="shared" si="3"/>
        <v>45492</v>
      </c>
      <c r="G12" s="37">
        <f t="shared" si="3"/>
        <v>45493</v>
      </c>
      <c r="H12" s="37">
        <f t="shared" si="3"/>
        <v>45494</v>
      </c>
      <c r="J12" s="8" t="str">
        <f t="array" aca="1" ref="J12" ca="1">IFERROR(INDEX(Citas,SMALL(IF(INT(INDEX(Citas,0,1))=$J$7,MATCH(ROW(Citas),ROW(Citas),0),""),ROW(A3)),COLUMN(A3)),"")</f>
        <v/>
      </c>
      <c r="K12" s="9" t="str">
        <f t="array" aca="1" ref="K12" ca="1">IFERROR(INDEX(Citas,SMALL(IF(INT(INDEX(Citas,0,1))=$J$7,MATCH(ROW(Citas),ROW(Citas),0),""),ROW(B3)),COLUMN(B3)),"")</f>
        <v/>
      </c>
      <c r="L12" s="9" t="str">
        <f t="array" aca="1" ref="L12" ca="1">IFERROR(INDEX(Citas,SMALL(IF(INT(INDEX(Citas,0,1))=$J$7,MATCH(ROW(Citas),ROW(Citas),0),""),ROW(C3)),COLUMN(C3)),"")</f>
        <v/>
      </c>
    </row>
    <row r="13" spans="2:12" ht="26.25" customHeight="1" thickBot="1" x14ac:dyDescent="0.4">
      <c r="B13" s="37">
        <f t="shared" si="2"/>
        <v>45495</v>
      </c>
      <c r="C13" s="37">
        <f t="shared" ref="C13:H13" si="4">B13+1</f>
        <v>45496</v>
      </c>
      <c r="D13" s="37">
        <f t="shared" si="4"/>
        <v>45497</v>
      </c>
      <c r="E13" s="37">
        <f t="shared" si="4"/>
        <v>45498</v>
      </c>
      <c r="F13" s="37">
        <f t="shared" si="4"/>
        <v>45499</v>
      </c>
      <c r="G13" s="37">
        <f t="shared" si="4"/>
        <v>45500</v>
      </c>
      <c r="H13" s="37">
        <f t="shared" si="4"/>
        <v>45501</v>
      </c>
      <c r="J13" s="8" t="str">
        <f t="array" aca="1" ref="J13" ca="1">IFERROR(INDEX(Citas,SMALL(IF(INT(INDEX(Citas,0,1))=$J$7,MATCH(ROW(Citas),ROW(Citas),0),""),ROW(A4)),COLUMN(A4)),"")</f>
        <v/>
      </c>
      <c r="K13" s="9" t="str">
        <f t="array" aca="1" ref="K13" ca="1">IFERROR(INDEX(Citas,SMALL(IF(INT(INDEX(Citas,0,1))=$J$7,MATCH(ROW(Citas),ROW(Citas),0),""),ROW(B4)),COLUMN(B4)),"")</f>
        <v/>
      </c>
      <c r="L13" s="9" t="str">
        <f t="array" aca="1" ref="L13" ca="1">IFERROR(INDEX(Citas,SMALL(IF(INT(INDEX(Citas,0,1))=$J$7,MATCH(ROW(Citas),ROW(Citas),0),""),ROW(C4)),COLUMN(C4)),"")</f>
        <v/>
      </c>
    </row>
    <row r="14" spans="2:12" ht="26.25" customHeight="1" thickBot="1" x14ac:dyDescent="0.4">
      <c r="B14" s="37">
        <f t="shared" si="2"/>
        <v>45502</v>
      </c>
      <c r="C14" s="37">
        <f t="shared" ref="C14:H14" si="5">B14+1</f>
        <v>45503</v>
      </c>
      <c r="D14" s="37">
        <f t="shared" si="5"/>
        <v>45504</v>
      </c>
      <c r="E14" s="37">
        <f t="shared" si="5"/>
        <v>45505</v>
      </c>
      <c r="F14" s="37">
        <f t="shared" si="5"/>
        <v>45506</v>
      </c>
      <c r="G14" s="37">
        <f t="shared" si="5"/>
        <v>45507</v>
      </c>
      <c r="H14" s="37">
        <f t="shared" si="5"/>
        <v>45508</v>
      </c>
      <c r="J14" s="8" t="str">
        <f t="array" aca="1" ref="J14" ca="1">IFERROR(INDEX(Citas,SMALL(IF(INT(INDEX(Citas,0,1))=$J$7,MATCH(ROW(Citas),ROW(Citas),0),""),ROW(A5)),COLUMN(A5)),"")</f>
        <v/>
      </c>
      <c r="K14" s="9" t="str">
        <f t="array" aca="1" ref="K14" ca="1">IFERROR(INDEX(Citas,SMALL(IF(INT(INDEX(Citas,0,1))=$J$7,MATCH(ROW(Citas),ROW(Citas),0),""),ROW(B5)),COLUMN(B5)),"")</f>
        <v/>
      </c>
      <c r="L14" s="9" t="str">
        <f t="array" aca="1" ref="L14" ca="1">IFERROR(INDEX(Citas,SMALL(IF(INT(INDEX(Citas,0,1))=$J$7,MATCH(ROW(Citas),ROW(Citas),0),""),ROW(C5)),COLUMN(C5)),"")</f>
        <v/>
      </c>
    </row>
    <row r="15" spans="2:12" ht="26.25" customHeight="1" thickBot="1" x14ac:dyDescent="0.4">
      <c r="B15" s="37">
        <f t="shared" si="2"/>
        <v>45509</v>
      </c>
      <c r="C15" s="37">
        <f t="shared" ref="C15:H15" si="6">B15+1</f>
        <v>45510</v>
      </c>
      <c r="D15" s="37">
        <f t="shared" si="6"/>
        <v>45511</v>
      </c>
      <c r="E15" s="37">
        <f t="shared" si="6"/>
        <v>45512</v>
      </c>
      <c r="F15" s="37">
        <f t="shared" si="6"/>
        <v>45513</v>
      </c>
      <c r="G15" s="37">
        <f t="shared" si="6"/>
        <v>45514</v>
      </c>
      <c r="H15" s="37">
        <f t="shared" si="6"/>
        <v>45515</v>
      </c>
      <c r="J15" s="8" t="str">
        <f t="array" aca="1" ref="J15" ca="1">IFERROR(INDEX(Citas,SMALL(IF(INT(INDEX(Citas,0,1))=$J$7,MATCH(ROW(Citas),ROW(Citas),0),""),ROW(A6)),COLUMN(A6)),"")</f>
        <v/>
      </c>
      <c r="K15" s="9" t="str">
        <f t="array" aca="1" ref="K15" ca="1">IFERROR(INDEX(Citas,SMALL(IF(INT(INDEX(Citas,0,1))=$J$7,MATCH(ROW(Citas),ROW(Citas),0),""),ROW(B6)),COLUMN(B6)),"")</f>
        <v/>
      </c>
      <c r="L15" s="9" t="str">
        <f t="array" aca="1" ref="L15" ca="1">IFERROR(INDEX(Citas,SMALL(IF(INT(INDEX(Citas,0,1))=$J$7,MATCH(ROW(Citas),ROW(Citas),0),""),ROW(C6)),COLUMN(C6)),"")</f>
        <v/>
      </c>
    </row>
    <row r="16" spans="2:12" ht="26.25" customHeight="1" thickBot="1" x14ac:dyDescent="0.4">
      <c r="J16" s="8" t="str">
        <f t="array" aca="1" ref="J16" ca="1">IFERROR(INDEX(Citas,SMALL(IF(INT(INDEX(Citas,0,1))=$J$7,MATCH(ROW(Citas),ROW(Citas),0),""),ROW(A7)),COLUMN(A7)),"")</f>
        <v/>
      </c>
      <c r="K16" s="9" t="str">
        <f t="array" aca="1" ref="K16" ca="1">IFERROR(INDEX(Citas,SMALL(IF(INT(INDEX(Citas,0,1))=$J$7,MATCH(ROW(Citas),ROW(Citas),0),""),ROW(B7)),COLUMN(B7)),"")</f>
        <v/>
      </c>
      <c r="L16" s="9" t="str">
        <f t="array" aca="1" ref="L16" ca="1">IFERROR(INDEX(Citas,SMALL(IF(INT(INDEX(Citas,0,1))=$J$7,MATCH(ROW(Citas),ROW(Citas),0),""),ROW(C7)),COLUMN(C7)),"")</f>
        <v/>
      </c>
    </row>
    <row r="17" spans="10:12" ht="26.25" customHeight="1" thickBot="1" x14ac:dyDescent="0.4">
      <c r="J17" s="8" t="str">
        <f t="array" aca="1" ref="J17" ca="1">IFERROR(INDEX(Citas,SMALL(IF(INT(INDEX(Citas,0,1))=$J$7,MATCH(ROW(Citas),ROW(Citas),0),""),ROW(A8)),COLUMN(A8)),"")</f>
        <v/>
      </c>
      <c r="K17" s="9" t="str">
        <f t="array" aca="1" ref="K17" ca="1">IFERROR(INDEX(Citas,SMALL(IF(INT(INDEX(Citas,0,1))=$J$7,MATCH(ROW(Citas),ROW(Citas),0),""),ROW(B8)),COLUMN(B8)),"")</f>
        <v/>
      </c>
      <c r="L17" s="9" t="str">
        <f t="array" aca="1" ref="L17" ca="1">IFERROR(INDEX(Citas,SMALL(IF(INT(INDEX(Citas,0,1))=$J$7,MATCH(ROW(Citas),ROW(Citas),0),""),ROW(C8)),COLUMN(C8)),"")</f>
        <v/>
      </c>
    </row>
    <row r="18" spans="10:12" ht="26.25" customHeight="1" thickBot="1" x14ac:dyDescent="0.4">
      <c r="J18" s="8" t="str">
        <f t="array" aca="1" ref="J18" ca="1">IFERROR(INDEX(Citas,SMALL(IF(INT(INDEX(Citas,0,1))=$J$7,MATCH(ROW(Citas),ROW(Citas),0),""),ROW(A9)),COLUMN(A9)),"")</f>
        <v/>
      </c>
      <c r="K18" s="9" t="str">
        <f t="array" aca="1" ref="K18" ca="1">IFERROR(INDEX(Citas,SMALL(IF(INT(INDEX(Citas,0,1))=$J$7,MATCH(ROW(Citas),ROW(Citas),0),""),ROW(B9)),COLUMN(B9)),"")</f>
        <v/>
      </c>
      <c r="L18" s="9" t="str">
        <f t="array" aca="1" ref="L18" ca="1">IFERROR(INDEX(Citas,SMALL(IF(INT(INDEX(Citas,0,1))=$J$7,MATCH(ROW(Citas),ROW(Citas),0),""),ROW(C9)),COLUMN(C9)),"")</f>
        <v/>
      </c>
    </row>
    <row r="19" spans="10:12" ht="26.25" customHeight="1" thickBot="1" x14ac:dyDescent="0.4">
      <c r="J19" s="8" t="str">
        <f t="array" aca="1" ref="J19" ca="1">IFERROR(INDEX(Citas,SMALL(IF(INT(INDEX(Citas,0,1))=$J$7,MATCH(ROW(Citas),ROW(Citas),0),""),ROW(A10)),COLUMN(A10)),"")</f>
        <v/>
      </c>
      <c r="K19" s="9" t="str">
        <f t="array" aca="1" ref="K19" ca="1">IFERROR(INDEX(Citas,SMALL(IF(INT(INDEX(Citas,0,1))=$J$7,MATCH(ROW(Citas),ROW(Citas),0),""),ROW(B10)),COLUMN(B10)),"")</f>
        <v/>
      </c>
      <c r="L19" s="9" t="str">
        <f t="array" aca="1" ref="L19" ca="1">IFERROR(INDEX(Citas,SMALL(IF(INT(INDEX(Citas,0,1))=$J$7,MATCH(ROW(Citas),ROW(Citas),0),""),ROW(C10)),COLUMN(C10)),"")</f>
        <v/>
      </c>
    </row>
    <row r="20" spans="10:12" ht="26.25" customHeight="1" thickBot="1" x14ac:dyDescent="0.4">
      <c r="J20" s="8" t="str">
        <f t="array" aca="1" ref="J20" ca="1">IFERROR(INDEX(Citas,SMALL(IF(INT(INDEX(Citas,0,1))=$J$7,MATCH(ROW(Citas),ROW(Citas),0),""),ROW(A11)),COLUMN(A11)),"")</f>
        <v/>
      </c>
      <c r="K20" s="9" t="str">
        <f t="array" aca="1" ref="K20" ca="1">IFERROR(INDEX(Citas,SMALL(IF(INT(INDEX(Citas,0,1))=$J$7,MATCH(ROW(Citas),ROW(Citas),0),""),ROW(B11)),COLUMN(B11)),"")</f>
        <v/>
      </c>
      <c r="L20" s="9" t="str">
        <f t="array" aca="1" ref="L20" ca="1">IFERROR(INDEX(Citas,SMALL(IF(INT(INDEX(Citas,0,1))=$J$7,MATCH(ROW(Citas),ROW(Citas),0),""),ROW(C11)),COLUMN(C11)),"")</f>
        <v/>
      </c>
    </row>
    <row r="21" spans="10:12" ht="26.25" customHeight="1" thickBot="1" x14ac:dyDescent="0.4">
      <c r="J21" s="8" t="str">
        <f t="array" aca="1" ref="J21" ca="1">IFERROR(INDEX(Citas,SMALL(IF(INT(INDEX(Citas,0,1))=$J$7,MATCH(ROW(Citas),ROW(Citas),0),""),ROW(A12)),COLUMN(A12)),"")</f>
        <v/>
      </c>
      <c r="K21" s="9" t="str">
        <f t="array" aca="1" ref="K21" ca="1">IFERROR(INDEX(Citas,SMALL(IF(INT(INDEX(Citas,0,1))=$J$7,MATCH(ROW(Citas),ROW(Citas),0),""),ROW(B12)),COLUMN(B12)),"")</f>
        <v/>
      </c>
      <c r="L21" s="9" t="str">
        <f t="array" aca="1" ref="L21" ca="1">IFERROR(INDEX(Citas,SMALL(IF(INT(INDEX(Citas,0,1))=$J$7,MATCH(ROW(Citas),ROW(Citas),0),""),ROW(C12)),COLUMN(C12)),"")</f>
        <v/>
      </c>
    </row>
    <row r="22" spans="10:12" ht="26.25" customHeight="1" thickBot="1" x14ac:dyDescent="0.4">
      <c r="J22" s="8" t="str">
        <f t="array" aca="1" ref="J22" ca="1">IFERROR(INDEX(Citas,SMALL(IF(INT(INDEX(Citas,0,1))=$J$7,MATCH(ROW(Citas),ROW(Citas),0),""),ROW(A13)),COLUMN(A13)),"")</f>
        <v/>
      </c>
      <c r="K22" s="9" t="str">
        <f t="array" aca="1" ref="K22" ca="1">IFERROR(INDEX(Citas,SMALL(IF(INT(INDEX(Citas,0,1))=$J$7,MATCH(ROW(Citas),ROW(Citas),0),""),ROW(B13)),COLUMN(B13)),"")</f>
        <v/>
      </c>
      <c r="L22" s="9" t="str">
        <f t="array" aca="1" ref="L22" ca="1">IFERROR(INDEX(Citas,SMALL(IF(INT(INDEX(Citas,0,1))=$J$7,MATCH(ROW(Citas),ROW(Citas),0),""),ROW(C13)),COLUMN(C13)),"")</f>
        <v/>
      </c>
    </row>
    <row r="23" spans="10:12" ht="26.25" customHeight="1" thickBot="1" x14ac:dyDescent="0.4">
      <c r="J23" s="8" t="str">
        <f t="array" aca="1" ref="J23" ca="1">IFERROR(INDEX(Citas,SMALL(IF(INT(INDEX(Citas,0,1))=$J$7,MATCH(ROW(Citas),ROW(Citas),0),""),ROW(A14)),COLUMN(A14)),"")</f>
        <v/>
      </c>
      <c r="K23" s="9" t="str">
        <f t="array" aca="1" ref="K23" ca="1">IFERROR(INDEX(Citas,SMALL(IF(INT(INDEX(Citas,0,1))=$J$7,MATCH(ROW(Citas),ROW(Citas),0),""),ROW(B14)),COLUMN(B14)),"")</f>
        <v/>
      </c>
      <c r="L23" s="9" t="str">
        <f t="array" aca="1" ref="L23" ca="1">IFERROR(INDEX(Citas,SMALL(IF(INT(INDEX(Citas,0,1))=$J$7,MATCH(ROW(Citas),ROW(Citas),0),""),ROW(C14)),COLUMN(C14)),"")</f>
        <v/>
      </c>
    </row>
    <row r="24" spans="10:12" ht="26.25" customHeight="1" thickBot="1" x14ac:dyDescent="0.4">
      <c r="J24" s="8" t="str">
        <f t="array" aca="1" ref="J24" ca="1">IFERROR(INDEX(Citas,SMALL(IF(INT(INDEX(Citas,0,1))=$J$7,MATCH(ROW(Citas),ROW(Citas),0),""),ROW(A15)),COLUMN(A15)),"")</f>
        <v/>
      </c>
      <c r="K24" s="9" t="str">
        <f t="array" aca="1" ref="K24" ca="1">IFERROR(INDEX(Citas,SMALL(IF(INT(INDEX(Citas,0,1))=$J$7,MATCH(ROW(Citas),ROW(Citas),0),""),ROW(B15)),COLUMN(B15)),"")</f>
        <v/>
      </c>
      <c r="L24" s="9" t="str">
        <f t="array" aca="1" ref="L24" ca="1">IFERROR(INDEX(Citas,SMALL(IF(INT(INDEX(Citas,0,1))=$J$7,MATCH(ROW(Citas),ROW(Citas),0),""),ROW(C15)),COLUMN(C15)),"")</f>
        <v/>
      </c>
    </row>
    <row r="25" spans="10:12" ht="26.25" customHeight="1" thickBot="1" x14ac:dyDescent="0.4">
      <c r="J25" s="8" t="str">
        <f t="array" aca="1" ref="J25" ca="1">IFERROR(INDEX(Citas,SMALL(IF(INT(INDEX(Citas,0,1))=$J$7,MATCH(ROW(Citas),ROW(Citas),0),""),ROW(A16)),COLUMN(A16)),"")</f>
        <v/>
      </c>
      <c r="K25" s="9" t="str">
        <f t="array" aca="1" ref="K25" ca="1">IFERROR(INDEX(Citas,SMALL(IF(INT(INDEX(Citas,0,1))=$J$7,MATCH(ROW(Citas),ROW(Citas),0),""),ROW(B16)),COLUMN(B16)),"")</f>
        <v/>
      </c>
      <c r="L25" s="9" t="str">
        <f t="array" aca="1" ref="L25" ca="1">IFERROR(INDEX(Citas,SMALL(IF(INT(INDEX(Citas,0,1))=$J$7,MATCH(ROW(Citas),ROW(Citas),0),""),ROW(C16)),COLUMN(C16)),"")</f>
        <v/>
      </c>
    </row>
    <row r="26" spans="10:12" ht="26.25" customHeight="1" thickBot="1" x14ac:dyDescent="0.4">
      <c r="J26" s="8" t="str">
        <f t="array" aca="1" ref="J26" ca="1">IFERROR(INDEX(Citas,SMALL(IF(INT(INDEX(Citas,0,1))=$J$7,MATCH(ROW(Citas),ROW(Citas),0),""),ROW(A17)),COLUMN(A17)),"")</f>
        <v/>
      </c>
      <c r="K26" s="9" t="str">
        <f t="array" aca="1" ref="K26" ca="1">IFERROR(INDEX(Citas,SMALL(IF(INT(INDEX(Citas,0,1))=$J$7,MATCH(ROW(Citas),ROW(Citas),0),""),ROW(B17)),COLUMN(B17)),"")</f>
        <v/>
      </c>
      <c r="L26" s="9" t="str">
        <f t="array" aca="1" ref="L26" ca="1">IFERROR(INDEX(Citas,SMALL(IF(INT(INDEX(Citas,0,1))=$J$7,MATCH(ROW(Citas),ROW(Citas),0),""),ROW(C17)),COLUMN(C17)),"")</f>
        <v/>
      </c>
    </row>
    <row r="27" spans="10:12" ht="26.25" customHeight="1" thickBot="1" x14ac:dyDescent="0.35">
      <c r="J27" s="6"/>
      <c r="K27" s="6"/>
      <c r="L27" s="6"/>
    </row>
    <row r="28" spans="10:12" ht="26.25" customHeight="1" thickBot="1" x14ac:dyDescent="0.35">
      <c r="J28" s="6"/>
      <c r="K28" s="6"/>
      <c r="L28" s="6"/>
    </row>
    <row r="29" spans="10:12" ht="26.25" customHeight="1" thickBot="1" x14ac:dyDescent="0.35">
      <c r="J29" s="6"/>
      <c r="K29" s="6"/>
      <c r="L29" s="6"/>
    </row>
    <row r="30" spans="10:12" ht="26.25" customHeight="1" thickBot="1" x14ac:dyDescent="0.35">
      <c r="J30" s="6"/>
      <c r="K30" s="6"/>
      <c r="L30" s="6"/>
    </row>
    <row r="31" spans="10:12" ht="26.25" customHeight="1" thickBot="1" x14ac:dyDescent="0.35">
      <c r="J31" s="6"/>
      <c r="K31" s="6"/>
      <c r="L31" s="6"/>
    </row>
    <row r="32" spans="10:12" ht="26.25" customHeight="1" thickBot="1" x14ac:dyDescent="0.35">
      <c r="J32" s="6"/>
      <c r="K32" s="6"/>
      <c r="L32" s="6"/>
    </row>
    <row r="33" spans="10:12" x14ac:dyDescent="0.25">
      <c r="J33" s="5"/>
      <c r="K33" s="5"/>
      <c r="L33" s="5"/>
    </row>
    <row r="34" spans="10:12" x14ac:dyDescent="0.25">
      <c r="J34" s="5"/>
      <c r="K34" s="5"/>
      <c r="L34" s="5"/>
    </row>
    <row r="35" spans="10:12" x14ac:dyDescent="0.25">
      <c r="J35" s="5"/>
      <c r="K35" s="5"/>
      <c r="L35" s="5"/>
    </row>
    <row r="36" spans="10:12" x14ac:dyDescent="0.25">
      <c r="J36" s="5"/>
      <c r="K36" s="5"/>
      <c r="L36" s="5"/>
    </row>
    <row r="37" spans="10:12" x14ac:dyDescent="0.25">
      <c r="J37" s="5"/>
      <c r="K37" s="5"/>
      <c r="L37" s="5"/>
    </row>
    <row r="38" spans="10:12" x14ac:dyDescent="0.25">
      <c r="J38" s="5"/>
      <c r="K38" s="5"/>
      <c r="L38" s="5"/>
    </row>
    <row r="39" spans="10:12" x14ac:dyDescent="0.25">
      <c r="J39" s="5"/>
      <c r="K39" s="5"/>
      <c r="L39" s="5"/>
    </row>
  </sheetData>
  <mergeCells count="3">
    <mergeCell ref="B8:H8"/>
    <mergeCell ref="J8:L8"/>
    <mergeCell ref="B2:L2"/>
  </mergeCells>
  <conditionalFormatting sqref="J10:J26 B10:H15">
    <cfRule type="expression" dxfId="16" priority="15">
      <formula>MONTH(B10)&lt;&gt;MONTH($B$8)</formula>
    </cfRule>
  </conditionalFormatting>
  <conditionalFormatting sqref="J27:J32">
    <cfRule type="expression" dxfId="15" priority="10">
      <formula>MONTH(J27)&lt;&gt;MONTH($B$8)</formula>
    </cfRule>
  </conditionalFormatting>
  <conditionalFormatting sqref="L27:L32">
    <cfRule type="expression" dxfId="14" priority="9">
      <formula>MONTH(L27)&lt;&gt;MONTH($B$8)</formula>
    </cfRule>
  </conditionalFormatting>
  <conditionalFormatting sqref="K27:K32">
    <cfRule type="expression" dxfId="13" priority="8">
      <formula>MONTH(K27)&lt;&gt;MONTH($B$8)</formula>
    </cfRule>
  </conditionalFormatting>
  <conditionalFormatting sqref="K10:L26">
    <cfRule type="expression" dxfId="12" priority="6">
      <formula>MONTH(K10)&lt;&gt;MONTH($B$8)</formula>
    </cfRule>
  </conditionalFormatting>
  <conditionalFormatting sqref="B10:H15">
    <cfRule type="expression" dxfId="11" priority="1">
      <formula>AND(MONTH(B10)=MONTH($B$8),VLOOKUP(B$9,Laborables,2,0)="No")</formula>
    </cfRule>
    <cfRule type="expression" dxfId="10" priority="2">
      <formula>VLOOKUP(B10,Feriados,1,0)</formula>
    </cfRule>
    <cfRule type="expression" dxfId="9" priority="3">
      <formula>OR(B10=INDEX(Citas,0,1))</formula>
    </cfRule>
  </conditionalFormatting>
  <dataValidations disablePrompts="1" count="2">
    <dataValidation type="list" allowBlank="1" showInputMessage="1" showErrorMessage="1" sqref="E4">
      <formula1>Año</formula1>
    </dataValidation>
    <dataValidation type="list" allowBlank="1" showInputMessage="1" showErrorMessage="1" sqref="E5:E7">
      <formula1>Meses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U58"/>
  <sheetViews>
    <sheetView showGridLines="0" tabSelected="1" zoomScale="85" zoomScaleNormal="85" workbookViewId="0">
      <selection activeCell="Z14" sqref="Z14"/>
    </sheetView>
  </sheetViews>
  <sheetFormatPr baseColWidth="10" defaultRowHeight="15" x14ac:dyDescent="0.25"/>
  <cols>
    <col min="1" max="1" width="3.140625" customWidth="1"/>
    <col min="2" max="2" width="17.5703125" hidden="1" customWidth="1"/>
    <col min="3" max="3" width="16.85546875" hidden="1" customWidth="1"/>
    <col min="4" max="4" width="25.140625" hidden="1" customWidth="1"/>
    <col min="5" max="5" width="26.28515625" hidden="1" customWidth="1"/>
    <col min="6" max="13" width="11.42578125" hidden="1" customWidth="1"/>
    <col min="14" max="14" width="29.5703125" customWidth="1"/>
    <col min="15" max="15" width="17.42578125" customWidth="1"/>
    <col min="16" max="16" width="20.42578125" customWidth="1"/>
    <col min="17" max="17" width="19.28515625" customWidth="1"/>
    <col min="18" max="18" width="11.42578125" customWidth="1"/>
    <col min="20" max="20" width="11.7109375" customWidth="1"/>
    <col min="21" max="21" width="0.140625" hidden="1" customWidth="1"/>
  </cols>
  <sheetData>
    <row r="2" spans="2:21" s="3" customFormat="1" ht="54.95" customHeight="1" x14ac:dyDescent="0.25"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63"/>
      <c r="O2" s="64"/>
      <c r="P2" s="64"/>
      <c r="Q2" s="64"/>
      <c r="R2" s="64"/>
      <c r="S2" s="64"/>
      <c r="T2" s="65"/>
      <c r="U2" s="19"/>
    </row>
    <row r="4" spans="2:21" ht="19.5" thickBot="1" x14ac:dyDescent="0.3">
      <c r="B4" s="56"/>
      <c r="C4" s="56"/>
      <c r="D4" s="56"/>
      <c r="E4" s="56"/>
      <c r="N4" s="15" t="s">
        <v>33</v>
      </c>
    </row>
    <row r="5" spans="2:21" ht="21" customHeight="1" thickBot="1" x14ac:dyDescent="0.35">
      <c r="B5" s="55" t="s">
        <v>17</v>
      </c>
      <c r="C5" s="55"/>
      <c r="D5" s="55" t="s">
        <v>45</v>
      </c>
      <c r="E5" s="55"/>
      <c r="N5" s="66" t="s">
        <v>62</v>
      </c>
      <c r="O5" s="66"/>
      <c r="P5" s="66" t="s">
        <v>63</v>
      </c>
      <c r="Q5" s="66"/>
    </row>
    <row r="6" spans="2:21" s="33" customFormat="1" ht="40.15" customHeight="1" thickBot="1" x14ac:dyDescent="0.3">
      <c r="B6" s="30" t="s">
        <v>18</v>
      </c>
      <c r="C6" s="31" t="s">
        <v>16</v>
      </c>
      <c r="D6" s="31" t="s">
        <v>46</v>
      </c>
      <c r="E6" s="32" t="s">
        <v>47</v>
      </c>
      <c r="N6" s="67" t="s">
        <v>64</v>
      </c>
      <c r="O6" s="68" t="s">
        <v>28</v>
      </c>
      <c r="P6" s="69" t="s">
        <v>65</v>
      </c>
      <c r="Q6" s="68" t="s">
        <v>66</v>
      </c>
    </row>
    <row r="7" spans="2:21" ht="19.899999999999999" hidden="1" customHeight="1" x14ac:dyDescent="0.3">
      <c r="B7" s="28">
        <f t="shared" ref="B7:B50" si="0">INT(N7)</f>
        <v>36342</v>
      </c>
      <c r="C7" s="29">
        <f t="shared" ref="C7:C34" si="1">N7</f>
        <v>36342.625</v>
      </c>
      <c r="D7" s="18" t="str">
        <f t="shared" ref="D7" si="2">O7</f>
        <v>s</v>
      </c>
      <c r="E7" s="28">
        <f>N7</f>
        <v>36342.625</v>
      </c>
      <c r="N7" s="38">
        <v>36342.625</v>
      </c>
      <c r="O7" s="39" t="s">
        <v>51</v>
      </c>
      <c r="P7" s="40" t="s">
        <v>51</v>
      </c>
      <c r="Q7" s="40" t="s">
        <v>51</v>
      </c>
    </row>
    <row r="8" spans="2:21" ht="19.899999999999999" hidden="1" customHeight="1" x14ac:dyDescent="0.3">
      <c r="B8" s="28">
        <f t="shared" si="0"/>
        <v>36335</v>
      </c>
      <c r="C8" s="29">
        <f t="shared" si="1"/>
        <v>36335.625</v>
      </c>
      <c r="D8" s="18" t="str">
        <f t="shared" ref="D8:D34" si="3">O8</f>
        <v>Ejemplo2</v>
      </c>
      <c r="E8" s="28">
        <f t="shared" ref="E8:E51" si="4">N8</f>
        <v>36335.625</v>
      </c>
      <c r="N8" s="22">
        <v>36335.625</v>
      </c>
      <c r="O8" s="20" t="s">
        <v>48</v>
      </c>
      <c r="P8" s="21">
        <v>113535353</v>
      </c>
      <c r="Q8" s="21" t="s">
        <v>44</v>
      </c>
    </row>
    <row r="9" spans="2:21" ht="19.899999999999999" hidden="1" customHeight="1" x14ac:dyDescent="0.3">
      <c r="B9" s="28">
        <f t="shared" si="0"/>
        <v>36337</v>
      </c>
      <c r="C9" s="29">
        <f t="shared" si="1"/>
        <v>36337.625</v>
      </c>
      <c r="D9" s="18" t="str">
        <f t="shared" si="3"/>
        <v>Ejemplo3</v>
      </c>
      <c r="E9" s="28">
        <f t="shared" si="4"/>
        <v>36337.625</v>
      </c>
      <c r="N9" s="41">
        <v>36337.625</v>
      </c>
      <c r="O9" s="20" t="s">
        <v>49</v>
      </c>
      <c r="P9" s="21">
        <v>11131</v>
      </c>
      <c r="Q9" s="21" t="s">
        <v>50</v>
      </c>
    </row>
    <row r="10" spans="2:21" ht="18.75" x14ac:dyDescent="0.3">
      <c r="B10" s="28">
        <f t="shared" si="0"/>
        <v>45475</v>
      </c>
      <c r="C10" s="29">
        <f t="shared" si="1"/>
        <v>45475.625</v>
      </c>
      <c r="D10" s="18" t="str">
        <f t="shared" si="3"/>
        <v>Gerardo Miller</v>
      </c>
      <c r="E10" s="28">
        <f t="shared" si="4"/>
        <v>45475.625</v>
      </c>
      <c r="N10" s="42">
        <v>45475.625</v>
      </c>
      <c r="O10" s="43" t="s">
        <v>59</v>
      </c>
      <c r="P10" s="44" t="s">
        <v>60</v>
      </c>
      <c r="Q10" s="44" t="s">
        <v>61</v>
      </c>
    </row>
    <row r="11" spans="2:21" ht="18.75" x14ac:dyDescent="0.3">
      <c r="B11" s="28">
        <f t="shared" si="0"/>
        <v>0</v>
      </c>
      <c r="C11" s="29">
        <f t="shared" si="1"/>
        <v>0</v>
      </c>
      <c r="D11" s="18">
        <f t="shared" si="3"/>
        <v>0</v>
      </c>
      <c r="E11" s="28">
        <f t="shared" si="4"/>
        <v>0</v>
      </c>
      <c r="N11" s="44"/>
      <c r="O11" s="43"/>
      <c r="P11" s="44"/>
      <c r="Q11" s="44"/>
    </row>
    <row r="12" spans="2:21" ht="18.75" x14ac:dyDescent="0.3">
      <c r="B12" s="28">
        <f t="shared" si="0"/>
        <v>0</v>
      </c>
      <c r="C12" s="29">
        <f t="shared" si="1"/>
        <v>0</v>
      </c>
      <c r="D12" s="18">
        <f t="shared" si="3"/>
        <v>0</v>
      </c>
      <c r="E12" s="28">
        <f t="shared" si="4"/>
        <v>0</v>
      </c>
      <c r="N12" s="44"/>
      <c r="O12" s="43"/>
      <c r="P12" s="44"/>
      <c r="Q12" s="44"/>
    </row>
    <row r="13" spans="2:21" ht="18.75" x14ac:dyDescent="0.3">
      <c r="B13" s="28">
        <f t="shared" si="0"/>
        <v>0</v>
      </c>
      <c r="C13" s="29">
        <f t="shared" si="1"/>
        <v>0</v>
      </c>
      <c r="D13" s="18">
        <f t="shared" si="3"/>
        <v>0</v>
      </c>
      <c r="E13" s="28">
        <f t="shared" si="4"/>
        <v>0</v>
      </c>
      <c r="N13" s="45"/>
      <c r="O13" s="45"/>
      <c r="P13" s="44"/>
      <c r="Q13" s="44"/>
    </row>
    <row r="14" spans="2:21" ht="18.75" x14ac:dyDescent="0.3">
      <c r="B14" s="28">
        <f t="shared" si="0"/>
        <v>0</v>
      </c>
      <c r="C14" s="29">
        <f t="shared" si="1"/>
        <v>0</v>
      </c>
      <c r="D14" s="18">
        <f t="shared" si="3"/>
        <v>0</v>
      </c>
      <c r="E14" s="28">
        <f t="shared" si="4"/>
        <v>0</v>
      </c>
      <c r="N14" s="44"/>
      <c r="O14" s="43"/>
      <c r="P14" s="44"/>
      <c r="Q14" s="44"/>
    </row>
    <row r="15" spans="2:21" ht="18.75" x14ac:dyDescent="0.3">
      <c r="B15" s="28">
        <f t="shared" si="0"/>
        <v>0</v>
      </c>
      <c r="C15" s="29">
        <f t="shared" si="1"/>
        <v>0</v>
      </c>
      <c r="D15" s="18">
        <f t="shared" si="3"/>
        <v>0</v>
      </c>
      <c r="E15" s="28">
        <f t="shared" si="4"/>
        <v>0</v>
      </c>
      <c r="N15" s="45"/>
      <c r="O15" s="45"/>
      <c r="P15" s="44"/>
      <c r="Q15" s="44"/>
    </row>
    <row r="16" spans="2:21" ht="18.75" x14ac:dyDescent="0.3">
      <c r="B16" s="28">
        <f t="shared" si="0"/>
        <v>0</v>
      </c>
      <c r="C16" s="29">
        <f t="shared" si="1"/>
        <v>0</v>
      </c>
      <c r="D16" s="18">
        <f t="shared" si="3"/>
        <v>0</v>
      </c>
      <c r="E16" s="28">
        <f t="shared" si="4"/>
        <v>0</v>
      </c>
      <c r="N16" s="44"/>
      <c r="O16" s="43"/>
      <c r="P16" s="44"/>
      <c r="Q16" s="44"/>
    </row>
    <row r="17" spans="2:17" ht="18.75" x14ac:dyDescent="0.3">
      <c r="B17" s="28">
        <f t="shared" si="0"/>
        <v>0</v>
      </c>
      <c r="C17" s="29">
        <f t="shared" si="1"/>
        <v>0</v>
      </c>
      <c r="D17" s="18">
        <f>O17</f>
        <v>0</v>
      </c>
      <c r="E17" s="28">
        <f t="shared" si="4"/>
        <v>0</v>
      </c>
      <c r="N17" s="45"/>
      <c r="O17" s="45"/>
      <c r="P17" s="44"/>
      <c r="Q17" s="44"/>
    </row>
    <row r="18" spans="2:17" ht="18.75" x14ac:dyDescent="0.3">
      <c r="B18" s="28">
        <f t="shared" si="0"/>
        <v>0</v>
      </c>
      <c r="C18" s="29">
        <f t="shared" si="1"/>
        <v>0</v>
      </c>
      <c r="D18" s="18">
        <f t="shared" si="3"/>
        <v>0</v>
      </c>
      <c r="E18" s="28">
        <f t="shared" si="4"/>
        <v>0</v>
      </c>
      <c r="N18" s="44"/>
      <c r="O18" s="43"/>
      <c r="P18" s="44"/>
      <c r="Q18" s="44"/>
    </row>
    <row r="19" spans="2:17" ht="18.75" x14ac:dyDescent="0.3">
      <c r="B19" s="28">
        <f t="shared" si="0"/>
        <v>0</v>
      </c>
      <c r="C19" s="29">
        <f t="shared" si="1"/>
        <v>0</v>
      </c>
      <c r="D19" s="18">
        <f t="shared" si="3"/>
        <v>0</v>
      </c>
      <c r="E19" s="28">
        <f t="shared" si="4"/>
        <v>0</v>
      </c>
      <c r="N19" s="45"/>
      <c r="O19" s="45"/>
      <c r="P19" s="44"/>
      <c r="Q19" s="44"/>
    </row>
    <row r="20" spans="2:17" ht="18.75" x14ac:dyDescent="0.3">
      <c r="B20" s="28">
        <f t="shared" si="0"/>
        <v>0</v>
      </c>
      <c r="C20" s="29">
        <f t="shared" si="1"/>
        <v>0</v>
      </c>
      <c r="D20" s="18">
        <f t="shared" si="3"/>
        <v>0</v>
      </c>
      <c r="E20" s="28">
        <f t="shared" si="4"/>
        <v>0</v>
      </c>
      <c r="N20" s="44"/>
      <c r="O20" s="43"/>
      <c r="P20" s="44"/>
      <c r="Q20" s="44"/>
    </row>
    <row r="21" spans="2:17" ht="18.75" x14ac:dyDescent="0.3">
      <c r="B21" s="28">
        <f t="shared" si="0"/>
        <v>0</v>
      </c>
      <c r="C21" s="29">
        <f t="shared" si="1"/>
        <v>0</v>
      </c>
      <c r="D21" s="18">
        <f t="shared" si="3"/>
        <v>0</v>
      </c>
      <c r="E21" s="28">
        <f t="shared" si="4"/>
        <v>0</v>
      </c>
      <c r="N21" s="45"/>
      <c r="O21" s="45"/>
      <c r="P21" s="44"/>
      <c r="Q21" s="44"/>
    </row>
    <row r="22" spans="2:17" ht="18.75" x14ac:dyDescent="0.3">
      <c r="B22" s="28">
        <f t="shared" si="0"/>
        <v>0</v>
      </c>
      <c r="C22" s="29">
        <f t="shared" si="1"/>
        <v>0</v>
      </c>
      <c r="D22" s="18">
        <f t="shared" si="3"/>
        <v>0</v>
      </c>
      <c r="E22" s="28">
        <f t="shared" si="4"/>
        <v>0</v>
      </c>
      <c r="N22" s="44"/>
      <c r="O22" s="43"/>
      <c r="P22" s="44"/>
      <c r="Q22" s="44"/>
    </row>
    <row r="23" spans="2:17" ht="18.75" x14ac:dyDescent="0.3">
      <c r="B23" s="28">
        <f t="shared" si="0"/>
        <v>0</v>
      </c>
      <c r="C23" s="29">
        <f t="shared" si="1"/>
        <v>0</v>
      </c>
      <c r="D23" s="18">
        <f t="shared" si="3"/>
        <v>0</v>
      </c>
      <c r="E23" s="28">
        <f t="shared" si="4"/>
        <v>0</v>
      </c>
      <c r="N23" s="45"/>
      <c r="O23" s="45"/>
      <c r="P23" s="44"/>
      <c r="Q23" s="44"/>
    </row>
    <row r="24" spans="2:17" ht="18.75" x14ac:dyDescent="0.3">
      <c r="B24" s="28">
        <f t="shared" si="0"/>
        <v>0</v>
      </c>
      <c r="C24" s="29">
        <f t="shared" si="1"/>
        <v>0</v>
      </c>
      <c r="D24" s="18">
        <f t="shared" si="3"/>
        <v>0</v>
      </c>
      <c r="E24" s="28">
        <f t="shared" si="4"/>
        <v>0</v>
      </c>
      <c r="N24" s="44"/>
      <c r="O24" s="43"/>
      <c r="P24" s="44"/>
      <c r="Q24" s="44"/>
    </row>
    <row r="25" spans="2:17" ht="18.75" x14ac:dyDescent="0.3">
      <c r="B25" s="28">
        <f t="shared" si="0"/>
        <v>0</v>
      </c>
      <c r="C25" s="29">
        <f t="shared" si="1"/>
        <v>0</v>
      </c>
      <c r="D25" s="18">
        <f t="shared" si="3"/>
        <v>0</v>
      </c>
      <c r="E25" s="28">
        <f t="shared" si="4"/>
        <v>0</v>
      </c>
      <c r="N25" s="45"/>
      <c r="O25" s="45"/>
      <c r="P25" s="44"/>
      <c r="Q25" s="44"/>
    </row>
    <row r="26" spans="2:17" ht="18.75" x14ac:dyDescent="0.3">
      <c r="B26" s="28">
        <f t="shared" si="0"/>
        <v>0</v>
      </c>
      <c r="C26" s="29">
        <f t="shared" si="1"/>
        <v>0</v>
      </c>
      <c r="D26" s="18">
        <f t="shared" si="3"/>
        <v>0</v>
      </c>
      <c r="E26" s="28">
        <f t="shared" si="4"/>
        <v>0</v>
      </c>
      <c r="N26" s="44"/>
      <c r="O26" s="43"/>
      <c r="P26" s="44"/>
      <c r="Q26" s="44"/>
    </row>
    <row r="27" spans="2:17" ht="18.75" x14ac:dyDescent="0.3">
      <c r="B27" s="28">
        <f t="shared" si="0"/>
        <v>0</v>
      </c>
      <c r="C27" s="29">
        <f t="shared" si="1"/>
        <v>0</v>
      </c>
      <c r="D27" s="18">
        <f t="shared" si="3"/>
        <v>0</v>
      </c>
      <c r="E27" s="28">
        <f t="shared" si="4"/>
        <v>0</v>
      </c>
      <c r="N27" s="45"/>
      <c r="O27" s="45"/>
      <c r="P27" s="44"/>
      <c r="Q27" s="44"/>
    </row>
    <row r="28" spans="2:17" ht="18.75" x14ac:dyDescent="0.3">
      <c r="B28" s="28">
        <f t="shared" si="0"/>
        <v>0</v>
      </c>
      <c r="C28" s="29">
        <f t="shared" si="1"/>
        <v>0</v>
      </c>
      <c r="D28" s="18">
        <f t="shared" si="3"/>
        <v>0</v>
      </c>
      <c r="E28" s="28">
        <f t="shared" si="4"/>
        <v>0</v>
      </c>
      <c r="N28" s="44"/>
      <c r="O28" s="43"/>
      <c r="P28" s="44"/>
      <c r="Q28" s="44"/>
    </row>
    <row r="29" spans="2:17" ht="18.75" x14ac:dyDescent="0.3">
      <c r="B29" s="28">
        <f t="shared" si="0"/>
        <v>0</v>
      </c>
      <c r="C29" s="29">
        <f t="shared" si="1"/>
        <v>0</v>
      </c>
      <c r="D29" s="18">
        <f t="shared" si="3"/>
        <v>0</v>
      </c>
      <c r="E29" s="28">
        <f t="shared" si="4"/>
        <v>0</v>
      </c>
      <c r="N29" s="45"/>
      <c r="O29" s="45"/>
      <c r="P29" s="44"/>
      <c r="Q29" s="44"/>
    </row>
    <row r="30" spans="2:17" ht="18.75" x14ac:dyDescent="0.3">
      <c r="B30" s="28">
        <f t="shared" si="0"/>
        <v>0</v>
      </c>
      <c r="C30" s="29">
        <f t="shared" si="1"/>
        <v>0</v>
      </c>
      <c r="D30" s="18">
        <f t="shared" si="3"/>
        <v>0</v>
      </c>
      <c r="E30" s="28">
        <f t="shared" si="4"/>
        <v>0</v>
      </c>
      <c r="N30" s="44"/>
      <c r="O30" s="43"/>
      <c r="P30" s="44"/>
      <c r="Q30" s="44"/>
    </row>
    <row r="31" spans="2:17" ht="18.75" x14ac:dyDescent="0.3">
      <c r="B31" s="28">
        <f t="shared" si="0"/>
        <v>0</v>
      </c>
      <c r="C31" s="29">
        <f t="shared" si="1"/>
        <v>0</v>
      </c>
      <c r="D31" s="18">
        <f t="shared" si="3"/>
        <v>0</v>
      </c>
      <c r="E31" s="28">
        <f t="shared" si="4"/>
        <v>0</v>
      </c>
      <c r="N31" s="45"/>
      <c r="O31" s="45"/>
      <c r="P31" s="44"/>
      <c r="Q31" s="44"/>
    </row>
    <row r="32" spans="2:17" ht="18.75" x14ac:dyDescent="0.3">
      <c r="B32" s="28">
        <f t="shared" si="0"/>
        <v>0</v>
      </c>
      <c r="C32" s="29">
        <f t="shared" si="1"/>
        <v>0</v>
      </c>
      <c r="D32" s="18">
        <f t="shared" si="3"/>
        <v>0</v>
      </c>
      <c r="E32" s="28">
        <f t="shared" si="4"/>
        <v>0</v>
      </c>
      <c r="N32" s="44"/>
      <c r="O32" s="43"/>
      <c r="P32" s="44"/>
      <c r="Q32" s="44"/>
    </row>
    <row r="33" spans="2:17" ht="18.75" x14ac:dyDescent="0.3">
      <c r="B33" s="28">
        <f t="shared" si="0"/>
        <v>0</v>
      </c>
      <c r="C33" s="29">
        <f t="shared" si="1"/>
        <v>0</v>
      </c>
      <c r="D33" s="18">
        <f t="shared" si="3"/>
        <v>0</v>
      </c>
      <c r="E33" s="28">
        <f t="shared" si="4"/>
        <v>0</v>
      </c>
      <c r="N33" s="45"/>
      <c r="O33" s="45"/>
      <c r="P33" s="44"/>
      <c r="Q33" s="44"/>
    </row>
    <row r="34" spans="2:17" ht="18.75" x14ac:dyDescent="0.3">
      <c r="B34" s="28">
        <f t="shared" si="0"/>
        <v>0</v>
      </c>
      <c r="C34" s="29">
        <f t="shared" si="1"/>
        <v>0</v>
      </c>
      <c r="D34" s="18">
        <f t="shared" si="3"/>
        <v>0</v>
      </c>
      <c r="E34" s="28">
        <f t="shared" si="4"/>
        <v>0</v>
      </c>
      <c r="N34" s="45"/>
      <c r="O34" s="45"/>
      <c r="P34" s="44"/>
      <c r="Q34" s="44"/>
    </row>
    <row r="35" spans="2:17" ht="18.75" x14ac:dyDescent="0.3">
      <c r="B35" s="28">
        <f t="shared" si="0"/>
        <v>0</v>
      </c>
      <c r="C35" s="29">
        <f t="shared" ref="C35:C49" si="5">N35</f>
        <v>0</v>
      </c>
      <c r="D35" s="18">
        <f t="shared" ref="D35:D49" si="6">O35</f>
        <v>0</v>
      </c>
      <c r="E35" s="28">
        <f t="shared" si="4"/>
        <v>0</v>
      </c>
      <c r="N35" s="45"/>
      <c r="O35" s="45"/>
      <c r="P35" s="44"/>
      <c r="Q35" s="44"/>
    </row>
    <row r="36" spans="2:17" ht="18.75" x14ac:dyDescent="0.3">
      <c r="B36" s="28">
        <f t="shared" si="0"/>
        <v>0</v>
      </c>
      <c r="C36" s="29">
        <f t="shared" si="5"/>
        <v>0</v>
      </c>
      <c r="D36" s="18">
        <f t="shared" si="6"/>
        <v>0</v>
      </c>
      <c r="E36" s="28">
        <f t="shared" si="4"/>
        <v>0</v>
      </c>
      <c r="N36" s="45"/>
      <c r="O36" s="45"/>
      <c r="P36" s="44"/>
      <c r="Q36" s="44"/>
    </row>
    <row r="37" spans="2:17" ht="18.75" x14ac:dyDescent="0.3">
      <c r="B37" s="28">
        <f t="shared" si="0"/>
        <v>0</v>
      </c>
      <c r="C37" s="29">
        <f t="shared" si="5"/>
        <v>0</v>
      </c>
      <c r="D37" s="18">
        <f t="shared" si="6"/>
        <v>0</v>
      </c>
      <c r="E37" s="28">
        <f t="shared" si="4"/>
        <v>0</v>
      </c>
      <c r="N37" s="45"/>
      <c r="O37" s="45"/>
      <c r="P37" s="44"/>
      <c r="Q37" s="44"/>
    </row>
    <row r="38" spans="2:17" ht="18.75" x14ac:dyDescent="0.3">
      <c r="B38" s="28">
        <f t="shared" si="0"/>
        <v>0</v>
      </c>
      <c r="C38" s="29">
        <f t="shared" si="5"/>
        <v>0</v>
      </c>
      <c r="D38" s="18">
        <f t="shared" si="6"/>
        <v>0</v>
      </c>
      <c r="E38" s="28">
        <f t="shared" si="4"/>
        <v>0</v>
      </c>
      <c r="N38" s="45"/>
      <c r="O38" s="45"/>
      <c r="P38" s="44"/>
      <c r="Q38" s="44"/>
    </row>
    <row r="39" spans="2:17" ht="18.75" x14ac:dyDescent="0.3">
      <c r="B39" s="28">
        <f t="shared" si="0"/>
        <v>0</v>
      </c>
      <c r="C39" s="29">
        <f t="shared" si="5"/>
        <v>0</v>
      </c>
      <c r="D39" s="18">
        <f t="shared" si="6"/>
        <v>0</v>
      </c>
      <c r="E39" s="28">
        <f t="shared" si="4"/>
        <v>0</v>
      </c>
      <c r="N39" s="45"/>
      <c r="O39" s="45"/>
      <c r="P39" s="44"/>
      <c r="Q39" s="44"/>
    </row>
    <row r="40" spans="2:17" ht="18.75" x14ac:dyDescent="0.3">
      <c r="B40" s="28">
        <f t="shared" si="0"/>
        <v>0</v>
      </c>
      <c r="C40" s="29">
        <f t="shared" si="5"/>
        <v>0</v>
      </c>
      <c r="D40" s="18">
        <f t="shared" si="6"/>
        <v>0</v>
      </c>
      <c r="E40" s="28">
        <f t="shared" si="4"/>
        <v>0</v>
      </c>
      <c r="N40" s="45"/>
      <c r="O40" s="45"/>
      <c r="P40" s="44"/>
      <c r="Q40" s="44"/>
    </row>
    <row r="41" spans="2:17" ht="18.75" x14ac:dyDescent="0.3">
      <c r="B41" s="28">
        <f t="shared" si="0"/>
        <v>0</v>
      </c>
      <c r="C41" s="29">
        <f t="shared" si="5"/>
        <v>0</v>
      </c>
      <c r="D41" s="18">
        <f t="shared" si="6"/>
        <v>0</v>
      </c>
      <c r="E41" s="28">
        <f t="shared" si="4"/>
        <v>0</v>
      </c>
      <c r="N41" s="45"/>
      <c r="O41" s="45"/>
      <c r="P41" s="44"/>
      <c r="Q41" s="44"/>
    </row>
    <row r="42" spans="2:17" ht="18.75" x14ac:dyDescent="0.3">
      <c r="B42" s="28">
        <f t="shared" si="0"/>
        <v>0</v>
      </c>
      <c r="C42" s="29">
        <f t="shared" si="5"/>
        <v>0</v>
      </c>
      <c r="D42" s="18">
        <f t="shared" si="6"/>
        <v>0</v>
      </c>
      <c r="E42" s="28">
        <f t="shared" si="4"/>
        <v>0</v>
      </c>
      <c r="N42" s="45"/>
      <c r="O42" s="45"/>
      <c r="P42" s="44"/>
      <c r="Q42" s="44"/>
    </row>
    <row r="43" spans="2:17" ht="18.75" x14ac:dyDescent="0.3">
      <c r="B43" s="28">
        <f t="shared" si="0"/>
        <v>0</v>
      </c>
      <c r="C43" s="29">
        <f t="shared" si="5"/>
        <v>0</v>
      </c>
      <c r="D43" s="18">
        <f t="shared" si="6"/>
        <v>0</v>
      </c>
      <c r="E43" s="28">
        <f t="shared" si="4"/>
        <v>0</v>
      </c>
      <c r="N43" s="45"/>
      <c r="O43" s="45"/>
      <c r="P43" s="44"/>
      <c r="Q43" s="44"/>
    </row>
    <row r="44" spans="2:17" ht="18.75" x14ac:dyDescent="0.3">
      <c r="B44" s="28">
        <f t="shared" si="0"/>
        <v>0</v>
      </c>
      <c r="C44" s="29">
        <f t="shared" si="5"/>
        <v>0</v>
      </c>
      <c r="D44" s="18">
        <f t="shared" si="6"/>
        <v>0</v>
      </c>
      <c r="E44" s="28">
        <f t="shared" si="4"/>
        <v>0</v>
      </c>
      <c r="N44" s="45"/>
      <c r="O44" s="45"/>
      <c r="P44" s="44"/>
      <c r="Q44" s="44"/>
    </row>
    <row r="45" spans="2:17" ht="18.75" x14ac:dyDescent="0.3">
      <c r="B45" s="28">
        <f t="shared" si="0"/>
        <v>0</v>
      </c>
      <c r="C45" s="29">
        <f t="shared" si="5"/>
        <v>0</v>
      </c>
      <c r="D45" s="18">
        <f t="shared" si="6"/>
        <v>0</v>
      </c>
      <c r="E45" s="28">
        <f t="shared" si="4"/>
        <v>0</v>
      </c>
      <c r="N45" s="45"/>
      <c r="O45" s="45"/>
      <c r="P45" s="44"/>
      <c r="Q45" s="44"/>
    </row>
    <row r="46" spans="2:17" ht="18.75" x14ac:dyDescent="0.3">
      <c r="B46" s="28">
        <f t="shared" si="0"/>
        <v>0</v>
      </c>
      <c r="C46" s="29">
        <f t="shared" si="5"/>
        <v>0</v>
      </c>
      <c r="D46" s="18">
        <f t="shared" si="6"/>
        <v>0</v>
      </c>
      <c r="E46" s="28">
        <f t="shared" si="4"/>
        <v>0</v>
      </c>
      <c r="N46" s="45"/>
      <c r="O46" s="45"/>
      <c r="P46" s="44"/>
      <c r="Q46" s="44"/>
    </row>
    <row r="47" spans="2:17" ht="18.75" x14ac:dyDescent="0.3">
      <c r="B47" s="28">
        <f t="shared" si="0"/>
        <v>0</v>
      </c>
      <c r="C47" s="29">
        <f t="shared" si="5"/>
        <v>0</v>
      </c>
      <c r="D47" s="18">
        <f t="shared" si="6"/>
        <v>0</v>
      </c>
      <c r="E47" s="28">
        <f t="shared" si="4"/>
        <v>0</v>
      </c>
      <c r="N47" s="45"/>
      <c r="O47" s="45"/>
      <c r="P47" s="44"/>
      <c r="Q47" s="44"/>
    </row>
    <row r="48" spans="2:17" ht="18.75" x14ac:dyDescent="0.3">
      <c r="B48" s="28">
        <f t="shared" si="0"/>
        <v>0</v>
      </c>
      <c r="C48" s="29">
        <f t="shared" si="5"/>
        <v>0</v>
      </c>
      <c r="D48" s="18">
        <f t="shared" si="6"/>
        <v>0</v>
      </c>
      <c r="E48" s="28">
        <f t="shared" si="4"/>
        <v>0</v>
      </c>
      <c r="N48" s="45"/>
      <c r="O48" s="45"/>
      <c r="P48" s="44"/>
      <c r="Q48" s="44"/>
    </row>
    <row r="49" spans="2:17" ht="18.75" x14ac:dyDescent="0.3">
      <c r="B49" s="28">
        <f t="shared" si="0"/>
        <v>0</v>
      </c>
      <c r="C49" s="29">
        <f t="shared" si="5"/>
        <v>0</v>
      </c>
      <c r="D49" s="18">
        <f t="shared" si="6"/>
        <v>0</v>
      </c>
      <c r="E49" s="28">
        <f t="shared" si="4"/>
        <v>0</v>
      </c>
      <c r="N49" s="45"/>
      <c r="O49" s="45"/>
      <c r="P49" s="44"/>
      <c r="Q49" s="44"/>
    </row>
    <row r="50" spans="2:17" ht="18.75" x14ac:dyDescent="0.3">
      <c r="B50" s="28">
        <f t="shared" si="0"/>
        <v>0</v>
      </c>
      <c r="C50" s="29">
        <f t="shared" ref="C50:C57" si="7">N50</f>
        <v>0</v>
      </c>
      <c r="D50" s="18">
        <f t="shared" ref="D50:D57" si="8">O50</f>
        <v>0</v>
      </c>
      <c r="E50" s="28">
        <f t="shared" si="4"/>
        <v>0</v>
      </c>
      <c r="N50" s="45"/>
      <c r="O50" s="45"/>
      <c r="P50" s="44"/>
      <c r="Q50" s="44"/>
    </row>
    <row r="51" spans="2:17" ht="18.75" x14ac:dyDescent="0.3">
      <c r="B51" s="28">
        <f t="shared" ref="B51:B57" si="9">INT(N51)</f>
        <v>0</v>
      </c>
      <c r="C51" s="29">
        <f t="shared" si="7"/>
        <v>0</v>
      </c>
      <c r="D51" s="18">
        <f t="shared" si="8"/>
        <v>0</v>
      </c>
      <c r="E51" s="28">
        <f t="shared" si="4"/>
        <v>0</v>
      </c>
      <c r="N51" s="45"/>
      <c r="O51" s="45"/>
      <c r="P51" s="44"/>
      <c r="Q51" s="44"/>
    </row>
    <row r="52" spans="2:17" ht="18.75" x14ac:dyDescent="0.3">
      <c r="B52" s="28">
        <f t="shared" si="9"/>
        <v>0</v>
      </c>
      <c r="C52" s="29">
        <f t="shared" si="7"/>
        <v>0</v>
      </c>
      <c r="D52" s="18">
        <f t="shared" si="8"/>
        <v>0</v>
      </c>
      <c r="E52" s="28">
        <f t="shared" ref="E52:E57" si="10">N52</f>
        <v>0</v>
      </c>
      <c r="N52" s="45"/>
      <c r="O52" s="45"/>
      <c r="P52" s="44"/>
      <c r="Q52" s="44"/>
    </row>
    <row r="53" spans="2:17" ht="18.75" x14ac:dyDescent="0.3">
      <c r="B53" s="28">
        <f t="shared" si="9"/>
        <v>0</v>
      </c>
      <c r="C53" s="29">
        <f t="shared" si="7"/>
        <v>0</v>
      </c>
      <c r="D53" s="18">
        <f t="shared" si="8"/>
        <v>0</v>
      </c>
      <c r="E53" s="28">
        <f t="shared" si="10"/>
        <v>0</v>
      </c>
      <c r="N53" s="45"/>
      <c r="O53" s="45"/>
      <c r="P53" s="44"/>
      <c r="Q53" s="44"/>
    </row>
    <row r="54" spans="2:17" ht="18.75" x14ac:dyDescent="0.3">
      <c r="B54" s="28">
        <f t="shared" si="9"/>
        <v>0</v>
      </c>
      <c r="C54" s="29">
        <f t="shared" si="7"/>
        <v>0</v>
      </c>
      <c r="D54" s="18">
        <f t="shared" si="8"/>
        <v>0</v>
      </c>
      <c r="E54" s="28">
        <f t="shared" si="10"/>
        <v>0</v>
      </c>
      <c r="N54" s="45"/>
      <c r="O54" s="45"/>
      <c r="P54" s="44"/>
      <c r="Q54" s="44"/>
    </row>
    <row r="55" spans="2:17" ht="18.75" x14ac:dyDescent="0.3">
      <c r="B55" s="28">
        <f t="shared" si="9"/>
        <v>0</v>
      </c>
      <c r="C55" s="29">
        <f t="shared" si="7"/>
        <v>0</v>
      </c>
      <c r="D55" s="18">
        <f t="shared" si="8"/>
        <v>0</v>
      </c>
      <c r="E55" s="28">
        <f t="shared" si="10"/>
        <v>0</v>
      </c>
      <c r="N55" s="45"/>
      <c r="O55" s="45"/>
      <c r="P55" s="44"/>
      <c r="Q55" s="44"/>
    </row>
    <row r="56" spans="2:17" ht="18.75" x14ac:dyDescent="0.3">
      <c r="B56" s="28">
        <f t="shared" si="9"/>
        <v>0</v>
      </c>
      <c r="C56" s="29">
        <f t="shared" si="7"/>
        <v>0</v>
      </c>
      <c r="D56" s="18">
        <f t="shared" si="8"/>
        <v>0</v>
      </c>
      <c r="E56" s="28">
        <f t="shared" si="10"/>
        <v>0</v>
      </c>
      <c r="N56" s="45"/>
      <c r="O56" s="45"/>
      <c r="P56" s="44"/>
      <c r="Q56" s="44"/>
    </row>
    <row r="57" spans="2:17" ht="19.5" thickBot="1" x14ac:dyDescent="0.35">
      <c r="B57" s="28">
        <f t="shared" si="9"/>
        <v>0</v>
      </c>
      <c r="C57" s="29">
        <f t="shared" si="7"/>
        <v>0</v>
      </c>
      <c r="D57" s="18">
        <f t="shared" si="8"/>
        <v>0</v>
      </c>
      <c r="E57" s="28">
        <f t="shared" si="10"/>
        <v>0</v>
      </c>
      <c r="N57" s="49"/>
      <c r="O57" s="49"/>
      <c r="P57" s="50"/>
      <c r="Q57" s="50"/>
    </row>
    <row r="58" spans="2:17" ht="18.75" x14ac:dyDescent="0.3">
      <c r="B58" s="34"/>
      <c r="C58" s="35"/>
      <c r="D58" s="36"/>
      <c r="E58" s="36"/>
      <c r="N58" s="48"/>
      <c r="O58" s="48"/>
      <c r="P58" s="47"/>
      <c r="Q58" s="47"/>
    </row>
  </sheetData>
  <mergeCells count="5">
    <mergeCell ref="B5:C5"/>
    <mergeCell ref="D5:E5"/>
    <mergeCell ref="N5:O5"/>
    <mergeCell ref="P5:Q5"/>
    <mergeCell ref="B4:E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AgregarRegistro">
                <anchor>
                  <from>
                    <xdr:col>19</xdr:col>
                    <xdr:colOff>381000</xdr:colOff>
                    <xdr:row>5</xdr:row>
                    <xdr:rowOff>19050</xdr:rowOff>
                  </from>
                  <to>
                    <xdr:col>22</xdr:col>
                    <xdr:colOff>676275</xdr:colOff>
                    <xdr:row>5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EliminarCita">
                <anchor>
                  <from>
                    <xdr:col>17</xdr:col>
                    <xdr:colOff>28575</xdr:colOff>
                    <xdr:row>5</xdr:row>
                    <xdr:rowOff>19050</xdr:rowOff>
                  </from>
                  <to>
                    <xdr:col>19</xdr:col>
                    <xdr:colOff>352425</xdr:colOff>
                    <xdr:row>5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L17"/>
  <sheetViews>
    <sheetView showGridLines="0" zoomScale="85" zoomScaleNormal="85" workbookViewId="0">
      <selection activeCell="J2" sqref="J2"/>
    </sheetView>
  </sheetViews>
  <sheetFormatPr baseColWidth="10" defaultRowHeight="15" x14ac:dyDescent="0.25"/>
  <cols>
    <col min="1" max="1" width="3.140625" customWidth="1"/>
    <col min="2" max="2" width="14.42578125" customWidth="1"/>
    <col min="3" max="3" width="27.85546875" customWidth="1"/>
    <col min="5" max="5" width="14.85546875" customWidth="1"/>
    <col min="6" max="6" width="16.7109375" customWidth="1"/>
  </cols>
  <sheetData>
    <row r="2" spans="2:12" s="3" customFormat="1" ht="54.95" customHeight="1" x14ac:dyDescent="0.25">
      <c r="B2" s="70"/>
      <c r="C2" s="71"/>
      <c r="D2" s="71"/>
      <c r="E2" s="71"/>
      <c r="F2" s="71"/>
      <c r="G2" s="71"/>
      <c r="H2" s="72"/>
      <c r="I2" s="46"/>
      <c r="J2" s="46"/>
      <c r="K2" s="46"/>
      <c r="L2" s="46"/>
    </row>
    <row r="4" spans="2:12" ht="19.5" thickBot="1" x14ac:dyDescent="0.3">
      <c r="B4" s="15" t="s">
        <v>36</v>
      </c>
      <c r="E4" s="15" t="s">
        <v>34</v>
      </c>
    </row>
    <row r="5" spans="2:12" ht="19.5" thickBot="1" x14ac:dyDescent="0.3">
      <c r="B5" s="57" t="s">
        <v>35</v>
      </c>
      <c r="C5" s="57"/>
      <c r="E5" s="58" t="s">
        <v>30</v>
      </c>
      <c r="F5" s="59"/>
    </row>
    <row r="6" spans="2:12" ht="19.5" thickBot="1" x14ac:dyDescent="0.35">
      <c r="B6" s="13" t="s">
        <v>18</v>
      </c>
      <c r="C6" s="13" t="s">
        <v>29</v>
      </c>
      <c r="E6" s="7" t="s">
        <v>52</v>
      </c>
      <c r="F6" s="7" t="s">
        <v>31</v>
      </c>
    </row>
    <row r="7" spans="2:12" ht="19.5" thickBot="1" x14ac:dyDescent="0.35">
      <c r="B7" s="10">
        <v>45460</v>
      </c>
      <c r="C7" s="11" t="s">
        <v>43</v>
      </c>
      <c r="E7" s="7" t="s">
        <v>53</v>
      </c>
      <c r="F7" s="7" t="s">
        <v>31</v>
      </c>
    </row>
    <row r="8" spans="2:12" ht="19.5" thickBot="1" x14ac:dyDescent="0.35">
      <c r="B8" s="10">
        <v>45463</v>
      </c>
      <c r="C8" s="11" t="s">
        <v>41</v>
      </c>
      <c r="E8" s="7" t="s">
        <v>54</v>
      </c>
      <c r="F8" s="7" t="s">
        <v>31</v>
      </c>
    </row>
    <row r="9" spans="2:12" ht="19.5" thickBot="1" x14ac:dyDescent="0.35">
      <c r="B9" s="10">
        <v>45464</v>
      </c>
      <c r="C9" s="11" t="s">
        <v>42</v>
      </c>
      <c r="E9" s="7" t="s">
        <v>55</v>
      </c>
      <c r="F9" s="7" t="s">
        <v>31</v>
      </c>
    </row>
    <row r="10" spans="2:12" ht="19.5" thickBot="1" x14ac:dyDescent="0.35">
      <c r="B10" s="10"/>
      <c r="C10" s="11"/>
      <c r="E10" s="7" t="s">
        <v>56</v>
      </c>
      <c r="F10" s="7" t="s">
        <v>31</v>
      </c>
    </row>
    <row r="11" spans="2:12" ht="19.5" thickBot="1" x14ac:dyDescent="0.35">
      <c r="B11" s="10"/>
      <c r="C11" s="11"/>
      <c r="E11" s="7" t="s">
        <v>57</v>
      </c>
      <c r="F11" s="7" t="s">
        <v>32</v>
      </c>
    </row>
    <row r="12" spans="2:12" ht="19.5" thickBot="1" x14ac:dyDescent="0.35">
      <c r="B12" s="10"/>
      <c r="C12" s="11"/>
      <c r="E12" s="7" t="s">
        <v>58</v>
      </c>
      <c r="F12" s="7" t="s">
        <v>32</v>
      </c>
    </row>
    <row r="13" spans="2:12" ht="19.5" thickBot="1" x14ac:dyDescent="0.35">
      <c r="B13" s="10"/>
      <c r="C13" s="11"/>
    </row>
    <row r="14" spans="2:12" ht="19.5" thickBot="1" x14ac:dyDescent="0.35">
      <c r="B14" s="10"/>
      <c r="C14" s="11"/>
    </row>
    <row r="15" spans="2:12" ht="19.5" thickBot="1" x14ac:dyDescent="0.35">
      <c r="B15" s="10"/>
      <c r="C15" s="11"/>
    </row>
    <row r="16" spans="2:12" ht="19.5" thickBot="1" x14ac:dyDescent="0.35">
      <c r="B16" s="10"/>
      <c r="C16" s="11"/>
      <c r="H16" s="2"/>
    </row>
    <row r="17" spans="2:3" ht="19.5" thickBot="1" x14ac:dyDescent="0.35">
      <c r="B17" s="10"/>
      <c r="C17" s="11"/>
    </row>
  </sheetData>
  <mergeCells count="2">
    <mergeCell ref="B5:C5"/>
    <mergeCell ref="E5:F5"/>
  </mergeCells>
  <conditionalFormatting sqref="B14:B17 B11:C13 B6:C6">
    <cfRule type="expression" dxfId="8" priority="17">
      <formula>MONTH(B6)&lt;&gt;MONTH($B$8)</formula>
    </cfRule>
  </conditionalFormatting>
  <conditionalFormatting sqref="C14:C17">
    <cfRule type="expression" dxfId="7" priority="16">
      <formula>MONTH(C14)&lt;&gt;MONTH($B$8)</formula>
    </cfRule>
  </conditionalFormatting>
  <conditionalFormatting sqref="E6:F12">
    <cfRule type="expression" dxfId="6" priority="7">
      <formula>MONTH(E6)&lt;&gt;MONTH($B$8)</formula>
    </cfRule>
  </conditionalFormatting>
  <conditionalFormatting sqref="F6:F12">
    <cfRule type="containsText" dxfId="5" priority="6" operator="containsText" text="No">
      <formula>NOT(ISERROR(SEARCH("No",F6)))</formula>
    </cfRule>
  </conditionalFormatting>
  <conditionalFormatting sqref="B10">
    <cfRule type="expression" dxfId="4" priority="5">
      <formula>MONTH(B10)&lt;&gt;MONTH($B$8)</formula>
    </cfRule>
  </conditionalFormatting>
  <conditionalFormatting sqref="C10">
    <cfRule type="expression" dxfId="3" priority="4">
      <formula>MONTH(C10)&lt;&gt;MONTH($B$8)</formula>
    </cfRule>
  </conditionalFormatting>
  <conditionalFormatting sqref="B8:C9">
    <cfRule type="expression" dxfId="2" priority="3">
      <formula>MONTH(B8)&lt;&gt;MONTH($B$8)</formula>
    </cfRule>
  </conditionalFormatting>
  <conditionalFormatting sqref="B7">
    <cfRule type="expression" dxfId="1" priority="2">
      <formula>MONTH(B7)&lt;&gt;MONTH($B$8)</formula>
    </cfRule>
  </conditionalFormatting>
  <conditionalFormatting sqref="C7">
    <cfRule type="expression" dxfId="0" priority="1">
      <formula>MONTH(C7)&lt;&gt;MONTH($B$8)</formula>
    </cfRule>
  </conditionalFormatting>
  <dataValidations count="1">
    <dataValidation type="list" allowBlank="1" showInputMessage="1" showErrorMessage="1" sqref="F6:F12">
      <formula1>"Si, No"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D34"/>
  <sheetViews>
    <sheetView showGridLines="0" workbookViewId="0">
      <selection activeCell="D2" sqref="D2"/>
    </sheetView>
  </sheetViews>
  <sheetFormatPr baseColWidth="10" defaultRowHeight="15" x14ac:dyDescent="0.25"/>
  <cols>
    <col min="1" max="1" width="21.140625" customWidth="1"/>
  </cols>
  <sheetData>
    <row r="2" spans="1:4" ht="18.75" x14ac:dyDescent="0.25">
      <c r="A2" s="4" t="s">
        <v>12</v>
      </c>
      <c r="B2" s="4" t="s">
        <v>13</v>
      </c>
      <c r="D2" s="4" t="s">
        <v>14</v>
      </c>
    </row>
    <row r="3" spans="1:4" x14ac:dyDescent="0.25">
      <c r="A3" s="14" t="s">
        <v>0</v>
      </c>
      <c r="B3" s="14">
        <v>1</v>
      </c>
      <c r="D3" s="14">
        <v>2019</v>
      </c>
    </row>
    <row r="4" spans="1:4" x14ac:dyDescent="0.25">
      <c r="A4" s="14" t="s">
        <v>1</v>
      </c>
      <c r="B4" s="14">
        <v>2</v>
      </c>
      <c r="D4" s="14">
        <v>2020</v>
      </c>
    </row>
    <row r="5" spans="1:4" x14ac:dyDescent="0.25">
      <c r="A5" s="14" t="s">
        <v>2</v>
      </c>
      <c r="B5" s="14">
        <v>3</v>
      </c>
      <c r="D5" s="14">
        <v>2021</v>
      </c>
    </row>
    <row r="6" spans="1:4" x14ac:dyDescent="0.25">
      <c r="A6" s="14" t="s">
        <v>3</v>
      </c>
      <c r="B6" s="14">
        <v>4</v>
      </c>
      <c r="D6" s="14">
        <v>2022</v>
      </c>
    </row>
    <row r="7" spans="1:4" x14ac:dyDescent="0.25">
      <c r="A7" s="14" t="s">
        <v>4</v>
      </c>
      <c r="B7" s="14">
        <v>5</v>
      </c>
      <c r="D7" s="14">
        <v>2023</v>
      </c>
    </row>
    <row r="8" spans="1:4" x14ac:dyDescent="0.25">
      <c r="A8" s="14" t="s">
        <v>5</v>
      </c>
      <c r="B8" s="14">
        <v>6</v>
      </c>
      <c r="D8" s="14">
        <v>2024</v>
      </c>
    </row>
    <row r="9" spans="1:4" x14ac:dyDescent="0.25">
      <c r="A9" s="14" t="s">
        <v>6</v>
      </c>
      <c r="B9" s="14">
        <v>7</v>
      </c>
      <c r="D9" s="14">
        <v>2025</v>
      </c>
    </row>
    <row r="10" spans="1:4" x14ac:dyDescent="0.25">
      <c r="A10" s="14" t="s">
        <v>7</v>
      </c>
      <c r="B10" s="14">
        <v>8</v>
      </c>
      <c r="D10" s="14">
        <v>2026</v>
      </c>
    </row>
    <row r="11" spans="1:4" x14ac:dyDescent="0.25">
      <c r="A11" s="14" t="s">
        <v>8</v>
      </c>
      <c r="B11" s="14">
        <v>9</v>
      </c>
      <c r="D11" s="14">
        <v>2027</v>
      </c>
    </row>
    <row r="12" spans="1:4" x14ac:dyDescent="0.25">
      <c r="A12" s="14" t="s">
        <v>9</v>
      </c>
      <c r="B12" s="14">
        <v>10</v>
      </c>
      <c r="D12" s="14">
        <v>2028</v>
      </c>
    </row>
    <row r="13" spans="1:4" x14ac:dyDescent="0.25">
      <c r="A13" s="14" t="s">
        <v>10</v>
      </c>
      <c r="B13" s="14">
        <v>11</v>
      </c>
      <c r="D13" s="14">
        <v>2029</v>
      </c>
    </row>
    <row r="14" spans="1:4" x14ac:dyDescent="0.25">
      <c r="A14" s="14" t="s">
        <v>11</v>
      </c>
      <c r="B14" s="14">
        <v>12</v>
      </c>
      <c r="D14" s="14">
        <v>2030</v>
      </c>
    </row>
    <row r="15" spans="1:4" x14ac:dyDescent="0.25">
      <c r="D15" s="14">
        <v>2031</v>
      </c>
    </row>
    <row r="16" spans="1:4" x14ac:dyDescent="0.25">
      <c r="D16" s="14">
        <v>2032</v>
      </c>
    </row>
    <row r="17" spans="4:4" x14ac:dyDescent="0.25">
      <c r="D17" s="14">
        <v>2033</v>
      </c>
    </row>
    <row r="18" spans="4:4" x14ac:dyDescent="0.25">
      <c r="D18" s="14">
        <v>2034</v>
      </c>
    </row>
    <row r="19" spans="4:4" x14ac:dyDescent="0.25">
      <c r="D19" s="14">
        <v>2035</v>
      </c>
    </row>
    <row r="20" spans="4:4" x14ac:dyDescent="0.25">
      <c r="D20" s="14">
        <v>2036</v>
      </c>
    </row>
    <row r="21" spans="4:4" x14ac:dyDescent="0.25">
      <c r="D21" s="14">
        <v>2037</v>
      </c>
    </row>
    <row r="22" spans="4:4" x14ac:dyDescent="0.25">
      <c r="D22" s="14">
        <v>2038</v>
      </c>
    </row>
    <row r="23" spans="4:4" x14ac:dyDescent="0.25">
      <c r="D23" s="14">
        <v>2039</v>
      </c>
    </row>
    <row r="24" spans="4:4" x14ac:dyDescent="0.25">
      <c r="D24" s="14">
        <v>2040</v>
      </c>
    </row>
    <row r="25" spans="4:4" x14ac:dyDescent="0.25">
      <c r="D25" s="14">
        <v>2041</v>
      </c>
    </row>
    <row r="26" spans="4:4" x14ac:dyDescent="0.25">
      <c r="D26" s="14">
        <v>2042</v>
      </c>
    </row>
    <row r="27" spans="4:4" x14ac:dyDescent="0.25">
      <c r="D27" s="14">
        <v>2043</v>
      </c>
    </row>
    <row r="28" spans="4:4" x14ac:dyDescent="0.25">
      <c r="D28" s="14">
        <v>2044</v>
      </c>
    </row>
    <row r="29" spans="4:4" x14ac:dyDescent="0.25">
      <c r="D29" s="14">
        <v>2045</v>
      </c>
    </row>
    <row r="30" spans="4:4" x14ac:dyDescent="0.25">
      <c r="D30" s="14">
        <v>2046</v>
      </c>
    </row>
    <row r="31" spans="4:4" x14ac:dyDescent="0.25">
      <c r="D31" s="14">
        <v>2047</v>
      </c>
    </row>
    <row r="32" spans="4:4" x14ac:dyDescent="0.25">
      <c r="D32" s="14">
        <v>2048</v>
      </c>
    </row>
    <row r="33" spans="4:4" x14ac:dyDescent="0.25">
      <c r="D33" s="14">
        <v>2049</v>
      </c>
    </row>
    <row r="34" spans="4:4" x14ac:dyDescent="0.25">
      <c r="D34" s="14">
        <v>2050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Calendario</vt:lpstr>
      <vt:lpstr>Citas</vt:lpstr>
      <vt:lpstr>Feriados</vt:lpstr>
      <vt:lpstr>Auxiliar</vt:lpstr>
      <vt:lpstr>Año</vt:lpstr>
      <vt:lpstr>Laborables</vt:lpstr>
      <vt:lpstr>Meses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Alumno</cp:lastModifiedBy>
  <dcterms:created xsi:type="dcterms:W3CDTF">2020-01-08T14:24:20Z</dcterms:created>
  <dcterms:modified xsi:type="dcterms:W3CDTF">2024-06-30T23:11:31Z</dcterms:modified>
</cp:coreProperties>
</file>